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 activeTab="2"/>
  </bookViews>
  <sheets>
    <sheet name="DEMANDA ELÉCTRICA PARA NORESTE " sheetId="1" r:id="rId1"/>
    <sheet name="DEMANDA ELÉCTRICA HORARIA " sheetId="2" r:id="rId2"/>
    <sheet name="Hoja2" sheetId="3" r:id="rId3"/>
  </sheets>
  <calcPr calcId="152511"/>
</workbook>
</file>

<file path=xl/calcChain.xml><?xml version="1.0" encoding="utf-8"?>
<calcChain xmlns="http://schemas.openxmlformats.org/spreadsheetml/2006/main">
  <c r="I36" i="3" l="1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<sst xmlns="http://schemas.openxmlformats.org/spreadsheetml/2006/main" count="23" uniqueCount="21">
  <si>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</si>
  <si>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</si>
  <si>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</si>
  <si>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</si>
  <si>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</si>
  <si>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</si>
  <si>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</si>
  <si>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</si>
  <si>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</si>
  <si>
    <t>HORA 3 EARLY STOPPING 3 FOLDERS 4 LAYERS 100,50,50,50 neurons 200 epochs 3 dataset_size 0.001 Adam Dropout 0.5</t>
  </si>
  <si>
    <t>HORA 4 EARLY STOPPING 3 FOLDERS 4 LAYERS 100,50,50,50 neurons 200 epochs 3 dataset_size 0.003 Adam Dropout 0.3</t>
  </si>
  <si>
    <t>HORA 5 EARLY STOPPING 3 FOLDERS 4 LAYERS 100,50,50,50 neurons 200 epochs 3 dataset_size 0.003 Adam Dropout 0.5</t>
  </si>
  <si>
    <t>HORA 6 EARLY STOPPING 3 FOLDERS 4 LAYERS 100,50,50,50 neurons 200 epochs 3 dataset_size 0.003 Adam Dropout 0.3</t>
  </si>
  <si>
    <t>HORA 7 EARLY STOPPING 3 FOLDERS 4 LAYERS 100,50,50,50 neurons 200 epochs 3 dataset_size 0.001 Adam Dropout 0.3</t>
  </si>
  <si>
    <t>HORA 8 EARLY STOPPING 3 FOLDERS 5 LAYERS 100,100,50,50,25 neurons 200 epochs 3 dataset_size 0.003 Adam Dropout 0.3</t>
  </si>
  <si>
    <t>HORA 9 EARLY STOPPING 3 FOLDERS 4 LAYERS 100,100,50,25 neurons 200 epochs 3 dataset_size     0.003 Adam Dropout 0.3 y 0.5~</t>
  </si>
  <si>
    <t>HORA 10 EARLY STOPPING 3 FOLDERS 5 LAYERS 100,100,50,50,25 neurons 200 epochs 3 dataset_size     0.003 Adam Dropout 0.3 y 0.5~</t>
  </si>
  <si>
    <t>HORA 11 EARLY STOPPING 3 FOLDERS 4 LAYERS 100,50,50,25 neurons 200 epochs 3 dataset_size     0.003 Adam Dropout 0.3 y 0.5~</t>
  </si>
  <si>
    <t>HORA 12 EARLY STOPPING 3 FOLDERS 4 LAYERS 100,50,50,25 neurons 200 epochs 3 dataset_size     0.003 Adam Dropout 0.3 y 0.5~</t>
  </si>
  <si>
    <t>HORA 13 EARLY STOPPING 3 FOLDERS 4 LAYERS 100,100,50,50,25 neurons 200 epochs 3 dataset_size     0.003 Adam Dropout 0.3 y 0.5~</t>
  </si>
  <si>
    <t>HORA 13 EARLY STOPPING 3 FOLDERS 3 LAYERS 100,50,25 neurons 200 epochs 3 dataset_size Adam Dropout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</si>
</sst>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top" wrapText="1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topLeftCell="A2068" workbookViewId="0">
      <selection activeCell="A2066" sqref="A2066:F208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DB1" workbookViewId="0">
      <selection activeCell="F43" sqref="F43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G63"/>
  <sheetViews>
    <sheetView tabSelected="1" topLeftCell="H31" workbookViewId="0">
      <selection activeCell="K33" sqref="K33:N34"/>
    </sheetView>
  </sheetViews>
  <sheetFormatPr baseColWidth="10" defaultRowHeight="15" x14ac:dyDescent="0.25"/>
  <sheetData>
    <row r="1" spans="1:59" x14ac:dyDescent="0.25">
      <c r="A1" s="10" t="s">
        <v>7</v>
      </c>
      <c r="B1" s="10"/>
      <c r="C1" s="10"/>
      <c r="D1" s="10"/>
      <c r="F1" s="10" t="s">
        <v>8</v>
      </c>
      <c r="G1" s="10"/>
      <c r="H1" s="10"/>
      <c r="I1" s="10"/>
      <c r="K1" s="10" t="s">
        <v>9</v>
      </c>
      <c r="L1" s="10"/>
      <c r="M1" s="10"/>
      <c r="N1" s="10"/>
      <c r="P1" s="10" t="s">
        <v>10</v>
      </c>
      <c r="Q1" s="10"/>
      <c r="R1" s="10"/>
      <c r="S1" s="10"/>
      <c r="U1" s="10" t="s">
        <v>11</v>
      </c>
      <c r="V1" s="10"/>
      <c r="W1" s="10"/>
      <c r="X1" s="10"/>
      <c r="Z1" s="10" t="s">
        <v>12</v>
      </c>
      <c r="AA1" s="10"/>
      <c r="AB1" s="10"/>
      <c r="AC1" s="10"/>
      <c r="AE1" s="10" t="s">
        <v>13</v>
      </c>
      <c r="AF1" s="10"/>
      <c r="AG1" s="10"/>
      <c r="AH1" s="10"/>
      <c r="AJ1" s="10" t="s">
        <v>14</v>
      </c>
      <c r="AK1" s="10"/>
      <c r="AL1" s="10"/>
      <c r="AM1" s="10"/>
      <c r="AO1" s="10" t="s">
        <v>15</v>
      </c>
      <c r="AP1" s="10"/>
      <c r="AQ1" s="10"/>
      <c r="AR1" s="10"/>
      <c r="AT1" s="10" t="s">
        <v>16</v>
      </c>
      <c r="AU1" s="10"/>
      <c r="AV1" s="10"/>
      <c r="AW1" s="10"/>
      <c r="AY1" s="10" t="s">
        <v>17</v>
      </c>
      <c r="AZ1" s="10"/>
      <c r="BA1" s="10"/>
      <c r="BB1" s="10"/>
      <c r="BD1" s="10" t="s">
        <v>18</v>
      </c>
      <c r="BE1" s="10"/>
      <c r="BF1" s="10"/>
      <c r="BG1" s="10"/>
    </row>
    <row r="2" spans="1:59" x14ac:dyDescent="0.25">
      <c r="A2" s="10"/>
      <c r="B2" s="10"/>
      <c r="C2" s="10"/>
      <c r="D2" s="10"/>
      <c r="F2" s="10"/>
      <c r="G2" s="10"/>
      <c r="H2" s="10"/>
      <c r="I2" s="10"/>
      <c r="K2" s="10"/>
      <c r="L2" s="10"/>
      <c r="M2" s="10"/>
      <c r="N2" s="10"/>
      <c r="P2" s="10"/>
      <c r="Q2" s="10"/>
      <c r="R2" s="10"/>
      <c r="S2" s="10"/>
      <c r="U2" s="10"/>
      <c r="V2" s="10"/>
      <c r="W2" s="10"/>
      <c r="X2" s="10"/>
      <c r="Z2" s="10"/>
      <c r="AA2" s="10"/>
      <c r="AB2" s="10"/>
      <c r="AC2" s="10"/>
      <c r="AE2" s="10"/>
      <c r="AF2" s="10"/>
      <c r="AG2" s="10"/>
      <c r="AH2" s="10"/>
      <c r="AJ2" s="10"/>
      <c r="AK2" s="10"/>
      <c r="AL2" s="10"/>
      <c r="AM2" s="10"/>
      <c r="AO2" s="10"/>
      <c r="AP2" s="10"/>
      <c r="AQ2" s="10"/>
      <c r="AR2" s="10"/>
      <c r="AT2" s="10"/>
      <c r="AU2" s="10"/>
      <c r="AV2" s="10"/>
      <c r="AW2" s="10"/>
      <c r="AY2" s="10"/>
      <c r="AZ2" s="10"/>
      <c r="BA2" s="10"/>
      <c r="BB2" s="10"/>
      <c r="BD2" s="10"/>
      <c r="BE2" s="10"/>
      <c r="BF2" s="10"/>
      <c r="BG2" s="10"/>
    </row>
    <row r="3" spans="1:59" x14ac:dyDescent="0.25">
      <c r="A3" s="8">
        <v>0</v>
      </c>
      <c r="B3" s="8">
        <v>294.75405899999998</v>
      </c>
      <c r="C3" s="8">
        <v>306.39999999999998</v>
      </c>
      <c r="D3" s="6">
        <f>ABS((C3-B3)/C3)</f>
        <v>3.8008945822454288E-2</v>
      </c>
      <c r="F3" s="5">
        <v>0</v>
      </c>
      <c r="G3" s="5">
        <v>316.211365</v>
      </c>
      <c r="H3" s="5">
        <v>301.27999999999997</v>
      </c>
      <c r="I3" s="6">
        <f>ABS((H3-G3)/H3)</f>
        <v>4.9559761683483902E-2</v>
      </c>
      <c r="K3">
        <v>0</v>
      </c>
      <c r="L3">
        <v>304.24984699999999</v>
      </c>
      <c r="M3">
        <v>306.24</v>
      </c>
      <c r="N3" s="6">
        <f>ABS((M3-L3)/M3)</f>
        <v>6.4986709770115617E-3</v>
      </c>
      <c r="P3">
        <v>0</v>
      </c>
      <c r="Q3">
        <v>289.09613000000002</v>
      </c>
      <c r="R3">
        <v>307.12</v>
      </c>
      <c r="S3" s="6">
        <f>ABS((R3-Q3)/R3)</f>
        <v>5.8686734826777769E-2</v>
      </c>
      <c r="U3">
        <v>0</v>
      </c>
      <c r="V3">
        <v>289.649475</v>
      </c>
      <c r="W3">
        <v>324.01</v>
      </c>
      <c r="X3" s="6">
        <f>ABS((W3-V3)/W3)</f>
        <v>0.10604773000833306</v>
      </c>
      <c r="Z3">
        <v>0</v>
      </c>
      <c r="AA3">
        <v>305.634613</v>
      </c>
      <c r="AB3">
        <v>320.82</v>
      </c>
      <c r="AC3" s="6">
        <f>ABS((AB3-AA3)/AB3)</f>
        <v>4.7333043451156388E-2</v>
      </c>
      <c r="AE3">
        <v>0</v>
      </c>
      <c r="AF3">
        <v>354.948486</v>
      </c>
      <c r="AG3">
        <v>355.08</v>
      </c>
      <c r="AH3" s="6">
        <f>ABS((AG3-AF3)/AG3)</f>
        <v>3.7037850625206006E-4</v>
      </c>
      <c r="AJ3">
        <v>0</v>
      </c>
      <c r="AK3">
        <v>340.29083300000002</v>
      </c>
      <c r="AL3">
        <v>365.99</v>
      </c>
      <c r="AM3" s="6">
        <f>ABS((AL3-AK3)/AL3)</f>
        <v>7.0218221809339024E-2</v>
      </c>
      <c r="AO3">
        <v>0</v>
      </c>
      <c r="AP3">
        <v>342.19494600000002</v>
      </c>
      <c r="AQ3">
        <v>314.07</v>
      </c>
      <c r="AR3" s="6">
        <f>ABS((AQ3-AP3)/AQ3)</f>
        <v>8.9549928359919831E-2</v>
      </c>
      <c r="AT3">
        <v>0</v>
      </c>
      <c r="AU3">
        <v>331.19097900000003</v>
      </c>
      <c r="AV3">
        <v>305.72000000000003</v>
      </c>
      <c r="AW3" s="6">
        <f>ABS((AV3-AU3)/AV3)</f>
        <v>8.3314729163940851E-2</v>
      </c>
      <c r="AY3">
        <v>0</v>
      </c>
      <c r="AZ3">
        <v>320.350098</v>
      </c>
      <c r="BA3">
        <v>306.14</v>
      </c>
      <c r="BB3" s="6">
        <f>ABS((BA3-AZ3)/BA3)</f>
        <v>4.6416992225779108E-2</v>
      </c>
      <c r="BD3">
        <v>0</v>
      </c>
      <c r="BE3">
        <v>307.35363799999999</v>
      </c>
      <c r="BF3">
        <v>301.18</v>
      </c>
      <c r="BG3" s="6">
        <f>ABS((BF3-BE3)/BF3)</f>
        <v>2.0498167208977961E-2</v>
      </c>
    </row>
    <row r="4" spans="1:59" x14ac:dyDescent="0.25">
      <c r="A4" s="8">
        <v>1</v>
      </c>
      <c r="B4" s="8">
        <v>312.36880500000001</v>
      </c>
      <c r="C4" s="9">
        <v>287.72000000000003</v>
      </c>
      <c r="D4" s="6">
        <f t="shared" ref="D4:D31" si="0">ABS((C4-B4)/C4)</f>
        <v>8.5669418184345814E-2</v>
      </c>
      <c r="F4" s="5">
        <v>1</v>
      </c>
      <c r="G4" s="5">
        <v>314.911652</v>
      </c>
      <c r="H4" s="5">
        <v>283.64</v>
      </c>
      <c r="I4" s="6">
        <f t="shared" ref="I4:I31" si="1">ABS((H4-G4)/H4)</f>
        <v>0.11025120575377245</v>
      </c>
      <c r="J4" s="5"/>
      <c r="K4">
        <v>1</v>
      </c>
      <c r="L4">
        <v>301.879639</v>
      </c>
      <c r="M4">
        <v>281.64999999999998</v>
      </c>
      <c r="N4" s="6">
        <f t="shared" ref="N4:N31" si="2">ABS((M4-L4)/M4)</f>
        <v>7.1825453577134823E-2</v>
      </c>
      <c r="P4">
        <v>1</v>
      </c>
      <c r="Q4">
        <v>290.83831800000002</v>
      </c>
      <c r="R4">
        <v>282.62</v>
      </c>
      <c r="S4" s="6">
        <f t="shared" ref="S4:S31" si="3">ABS((R4-Q4)/R4)</f>
        <v>2.9079038992286501E-2</v>
      </c>
      <c r="U4">
        <v>1</v>
      </c>
      <c r="V4">
        <v>299.655396</v>
      </c>
      <c r="W4">
        <v>269.70999999999998</v>
      </c>
      <c r="X4" s="6">
        <f t="shared" ref="X4:X31" si="4">ABS((W4-V4)/W4)</f>
        <v>0.11102812650624752</v>
      </c>
      <c r="Z4">
        <v>1</v>
      </c>
      <c r="AA4">
        <v>298.38696299999998</v>
      </c>
      <c r="AB4">
        <v>251.23</v>
      </c>
      <c r="AC4" s="6">
        <f t="shared" ref="AC4:AC31" si="5">ABS((AB4-AA4)/AB4)</f>
        <v>0.18770434661465588</v>
      </c>
      <c r="AE4">
        <v>1</v>
      </c>
      <c r="AF4">
        <v>322.04424999999998</v>
      </c>
      <c r="AG4">
        <v>281.27999999999997</v>
      </c>
      <c r="AH4" s="6">
        <f t="shared" ref="AH4:AH31" si="6">ABS((AG4-AF4)/AG4)</f>
        <v>0.1449240969852105</v>
      </c>
      <c r="AJ4">
        <v>1</v>
      </c>
      <c r="AK4">
        <v>283.301086</v>
      </c>
      <c r="AL4">
        <v>282.10000000000002</v>
      </c>
      <c r="AM4" s="6">
        <f t="shared" ref="AM4:AM31" si="7">ABS((AL4-AK4)/AL4)</f>
        <v>4.2576604041119287E-3</v>
      </c>
      <c r="AO4">
        <v>1</v>
      </c>
      <c r="AP4">
        <v>311.92965700000002</v>
      </c>
      <c r="AQ4">
        <v>288.77999999999997</v>
      </c>
      <c r="AR4" s="6">
        <f t="shared" ref="AR4:AR31" si="8">ABS((AQ4-AP4)/AQ4)</f>
        <v>8.0163643604127879E-2</v>
      </c>
      <c r="AT4">
        <v>1</v>
      </c>
      <c r="AU4">
        <v>304.142517</v>
      </c>
      <c r="AV4">
        <v>259.68</v>
      </c>
      <c r="AW4" s="6">
        <f t="shared" ref="AW4:AW31" si="9">ABS((AV4-AU4)/AV4)</f>
        <v>0.17122041358595191</v>
      </c>
      <c r="AY4">
        <v>1</v>
      </c>
      <c r="AZ4">
        <v>289.61999500000002</v>
      </c>
      <c r="BA4">
        <v>180.71</v>
      </c>
      <c r="BB4" s="6">
        <f t="shared" ref="BB4:BB31" si="10">ABS((BA4-AZ4)/BA4)</f>
        <v>0.60267829671849926</v>
      </c>
      <c r="BD4">
        <v>1</v>
      </c>
      <c r="BE4">
        <v>280.184845</v>
      </c>
      <c r="BF4">
        <v>116.28</v>
      </c>
      <c r="BG4" s="6">
        <f t="shared" ref="BG4:BG31" si="11">ABS((BF4-BE4)/BF4)</f>
        <v>1.4095703904368764</v>
      </c>
    </row>
    <row r="5" spans="1:59" x14ac:dyDescent="0.25">
      <c r="A5" s="8">
        <v>2</v>
      </c>
      <c r="B5" s="8">
        <v>290.23959400000001</v>
      </c>
      <c r="C5" s="9">
        <v>88.07</v>
      </c>
      <c r="D5" s="6">
        <f t="shared" si="0"/>
        <v>2.2955557397524702</v>
      </c>
      <c r="F5" s="5">
        <v>2</v>
      </c>
      <c r="G5" s="5">
        <v>299.00021400000003</v>
      </c>
      <c r="H5" s="5">
        <v>208.91</v>
      </c>
      <c r="I5" s="6">
        <f t="shared" si="1"/>
        <v>0.43123935666076318</v>
      </c>
      <c r="J5" s="5"/>
      <c r="K5">
        <v>2</v>
      </c>
      <c r="L5">
        <v>273.513397</v>
      </c>
      <c r="M5">
        <v>164.94</v>
      </c>
      <c r="N5" s="6">
        <f t="shared" si="2"/>
        <v>0.65825995513520064</v>
      </c>
      <c r="P5">
        <v>2</v>
      </c>
      <c r="Q5">
        <v>249.55308500000001</v>
      </c>
      <c r="R5">
        <v>87.09</v>
      </c>
      <c r="S5" s="6">
        <f t="shared" si="3"/>
        <v>1.8654619933402228</v>
      </c>
      <c r="U5">
        <v>2</v>
      </c>
      <c r="V5">
        <v>258.27923600000003</v>
      </c>
      <c r="W5">
        <v>84.58</v>
      </c>
      <c r="X5" s="6">
        <f t="shared" si="4"/>
        <v>2.0536679593284468</v>
      </c>
      <c r="Z5">
        <v>2</v>
      </c>
      <c r="AA5">
        <v>241.563614</v>
      </c>
      <c r="AB5">
        <v>96.89</v>
      </c>
      <c r="AC5" s="6">
        <f t="shared" si="5"/>
        <v>1.4931738466301991</v>
      </c>
      <c r="AE5">
        <v>2</v>
      </c>
      <c r="AF5">
        <v>266.720032</v>
      </c>
      <c r="AG5">
        <v>170.25</v>
      </c>
      <c r="AH5" s="6">
        <f t="shared" si="6"/>
        <v>0.56663748604992659</v>
      </c>
      <c r="AJ5">
        <v>2</v>
      </c>
      <c r="AK5">
        <v>206.00663800000001</v>
      </c>
      <c r="AL5">
        <v>166.08</v>
      </c>
      <c r="AM5" s="6">
        <f t="shared" si="7"/>
        <v>0.24040605732177261</v>
      </c>
      <c r="AO5">
        <v>2</v>
      </c>
      <c r="AP5">
        <v>251.42311100000001</v>
      </c>
      <c r="AQ5">
        <v>111.54</v>
      </c>
      <c r="AR5" s="6">
        <f t="shared" si="8"/>
        <v>1.2541071454186836</v>
      </c>
      <c r="AT5">
        <v>2</v>
      </c>
      <c r="AU5">
        <v>237.87835699999999</v>
      </c>
      <c r="AV5">
        <v>111.46</v>
      </c>
      <c r="AW5" s="6">
        <f t="shared" si="9"/>
        <v>1.1342038130270951</v>
      </c>
      <c r="AY5">
        <v>2</v>
      </c>
      <c r="AZ5">
        <v>223.80827300000001</v>
      </c>
      <c r="BA5">
        <v>188.74</v>
      </c>
      <c r="BB5" s="6">
        <f t="shared" si="10"/>
        <v>0.18580201864999471</v>
      </c>
      <c r="BD5">
        <v>2</v>
      </c>
      <c r="BE5">
        <v>236.81303399999999</v>
      </c>
      <c r="BF5">
        <v>218.56</v>
      </c>
      <c r="BG5" s="6">
        <f t="shared" si="11"/>
        <v>8.351497986822834E-2</v>
      </c>
    </row>
    <row r="6" spans="1:59" x14ac:dyDescent="0.25">
      <c r="A6" s="8">
        <v>3</v>
      </c>
      <c r="B6" s="8">
        <v>219.74067700000001</v>
      </c>
      <c r="C6" s="9">
        <v>271.31</v>
      </c>
      <c r="D6" s="6">
        <f t="shared" si="0"/>
        <v>0.19007527551509343</v>
      </c>
      <c r="F6" s="5">
        <v>3</v>
      </c>
      <c r="G6" s="5">
        <v>281.42971799999998</v>
      </c>
      <c r="H6" s="5">
        <v>265.52</v>
      </c>
      <c r="I6" s="6">
        <f t="shared" si="1"/>
        <v>5.9919094606809276E-2</v>
      </c>
      <c r="J6" s="5"/>
      <c r="K6">
        <v>3</v>
      </c>
      <c r="L6">
        <v>266.54046599999998</v>
      </c>
      <c r="M6">
        <v>259.02</v>
      </c>
      <c r="N6" s="6">
        <f t="shared" si="2"/>
        <v>2.9034306231179058E-2</v>
      </c>
      <c r="P6">
        <v>3</v>
      </c>
      <c r="Q6">
        <v>235.22554</v>
      </c>
      <c r="R6">
        <v>264.91000000000003</v>
      </c>
      <c r="S6" s="6">
        <f t="shared" si="3"/>
        <v>0.11205488656524867</v>
      </c>
      <c r="U6">
        <v>3</v>
      </c>
      <c r="V6">
        <v>253.273697</v>
      </c>
      <c r="W6">
        <v>258.7</v>
      </c>
      <c r="X6" s="6">
        <f t="shared" si="4"/>
        <v>2.0975272516428257E-2</v>
      </c>
      <c r="Z6">
        <v>3</v>
      </c>
      <c r="AA6">
        <v>246.67678799999999</v>
      </c>
      <c r="AB6">
        <v>276.55</v>
      </c>
      <c r="AC6" s="6">
        <f t="shared" si="5"/>
        <v>0.10802101609112284</v>
      </c>
      <c r="AE6">
        <v>3</v>
      </c>
      <c r="AF6">
        <v>207.84513899999999</v>
      </c>
      <c r="AG6">
        <v>273.64</v>
      </c>
      <c r="AH6" s="6">
        <f t="shared" si="6"/>
        <v>0.24044314062271599</v>
      </c>
      <c r="AJ6">
        <v>3</v>
      </c>
      <c r="AK6">
        <v>213.935181</v>
      </c>
      <c r="AL6">
        <v>301.79000000000002</v>
      </c>
      <c r="AM6" s="6">
        <f t="shared" si="7"/>
        <v>0.29111242585904112</v>
      </c>
      <c r="AO6">
        <v>3</v>
      </c>
      <c r="AP6">
        <v>179.296783</v>
      </c>
      <c r="AQ6">
        <v>307.44</v>
      </c>
      <c r="AR6" s="6">
        <f t="shared" si="8"/>
        <v>0.41680723718449125</v>
      </c>
      <c r="AT6">
        <v>3</v>
      </c>
      <c r="AU6">
        <v>209.91146900000001</v>
      </c>
      <c r="AV6">
        <v>332.61</v>
      </c>
      <c r="AW6" s="6">
        <f t="shared" si="9"/>
        <v>0.36889609753164365</v>
      </c>
      <c r="AY6">
        <v>3</v>
      </c>
      <c r="AZ6">
        <v>268.126801</v>
      </c>
      <c r="BA6">
        <v>345.83</v>
      </c>
      <c r="BB6" s="6">
        <f t="shared" si="10"/>
        <v>0.22468611456495963</v>
      </c>
      <c r="BD6">
        <v>3</v>
      </c>
      <c r="BE6">
        <v>294.186981</v>
      </c>
      <c r="BF6">
        <v>328.56</v>
      </c>
      <c r="BG6" s="6">
        <f t="shared" si="11"/>
        <v>0.10461717494521548</v>
      </c>
    </row>
    <row r="7" spans="1:59" x14ac:dyDescent="0.25">
      <c r="A7" s="8">
        <v>4</v>
      </c>
      <c r="B7" s="8">
        <v>331.87750199999999</v>
      </c>
      <c r="C7" s="9">
        <v>445</v>
      </c>
      <c r="D7" s="6">
        <f t="shared" si="0"/>
        <v>0.25420786067415729</v>
      </c>
      <c r="F7" s="5">
        <v>4</v>
      </c>
      <c r="G7" s="5">
        <v>337.19140599999997</v>
      </c>
      <c r="H7" s="5">
        <v>380.88</v>
      </c>
      <c r="I7" s="6">
        <f t="shared" si="1"/>
        <v>0.11470435307708471</v>
      </c>
      <c r="J7" s="5"/>
      <c r="K7">
        <v>4</v>
      </c>
      <c r="L7">
        <v>324.69329800000003</v>
      </c>
      <c r="M7">
        <v>323.83999999999997</v>
      </c>
      <c r="N7" s="6">
        <f t="shared" si="2"/>
        <v>2.6349370059290146E-3</v>
      </c>
      <c r="P7">
        <v>4</v>
      </c>
      <c r="Q7">
        <v>330.41632099999998</v>
      </c>
      <c r="R7">
        <v>317.27999999999997</v>
      </c>
      <c r="S7" s="6">
        <f t="shared" si="3"/>
        <v>4.1402928013111483E-2</v>
      </c>
      <c r="U7">
        <v>4</v>
      </c>
      <c r="V7">
        <v>330.76895100000002</v>
      </c>
      <c r="W7">
        <v>313.29000000000002</v>
      </c>
      <c r="X7" s="6">
        <f t="shared" si="4"/>
        <v>5.5791602030067972E-2</v>
      </c>
      <c r="Z7">
        <v>4</v>
      </c>
      <c r="AA7">
        <v>333.13876299999998</v>
      </c>
      <c r="AB7">
        <v>323.43</v>
      </c>
      <c r="AC7" s="6">
        <f t="shared" si="5"/>
        <v>3.0018127570107831E-2</v>
      </c>
      <c r="AE7">
        <v>4</v>
      </c>
      <c r="AF7">
        <v>328.70220899999998</v>
      </c>
      <c r="AG7">
        <v>537.35</v>
      </c>
      <c r="AH7" s="6">
        <f t="shared" si="6"/>
        <v>0.38829029682702154</v>
      </c>
      <c r="AJ7">
        <v>4</v>
      </c>
      <c r="AK7">
        <v>345.82354700000002</v>
      </c>
      <c r="AL7">
        <v>477.99</v>
      </c>
      <c r="AM7" s="6">
        <f t="shared" si="7"/>
        <v>0.27650464026444066</v>
      </c>
      <c r="AO7">
        <v>4</v>
      </c>
      <c r="AP7">
        <v>309.09762599999999</v>
      </c>
      <c r="AQ7">
        <v>439.6</v>
      </c>
      <c r="AR7" s="6">
        <f t="shared" si="8"/>
        <v>0.29686618289353967</v>
      </c>
      <c r="AT7">
        <v>4</v>
      </c>
      <c r="AU7">
        <v>324.23928799999999</v>
      </c>
      <c r="AV7">
        <v>415.79</v>
      </c>
      <c r="AW7" s="6">
        <f t="shared" si="9"/>
        <v>0.22018497799369882</v>
      </c>
      <c r="AY7">
        <v>4</v>
      </c>
      <c r="AZ7">
        <v>330.59533699999997</v>
      </c>
      <c r="BA7">
        <v>416.9</v>
      </c>
      <c r="BB7" s="6">
        <f t="shared" si="10"/>
        <v>0.20701526265291439</v>
      </c>
      <c r="BD7">
        <v>4</v>
      </c>
      <c r="BE7">
        <v>324.23486300000002</v>
      </c>
      <c r="BF7">
        <v>360.68</v>
      </c>
      <c r="BG7" s="6">
        <f t="shared" si="11"/>
        <v>0.1010456277032272</v>
      </c>
    </row>
    <row r="8" spans="1:59" x14ac:dyDescent="0.25">
      <c r="A8" s="8">
        <v>5</v>
      </c>
      <c r="B8" s="8">
        <v>351.11148100000003</v>
      </c>
      <c r="C8" s="9">
        <v>339.08</v>
      </c>
      <c r="D8" s="6">
        <f t="shared" si="0"/>
        <v>3.5482720891825061E-2</v>
      </c>
      <c r="F8" s="5">
        <v>5</v>
      </c>
      <c r="G8" s="5">
        <v>338.23037699999998</v>
      </c>
      <c r="H8" s="5">
        <v>332.12</v>
      </c>
      <c r="I8" s="6">
        <f t="shared" si="1"/>
        <v>1.8398100084306791E-2</v>
      </c>
      <c r="J8" s="5"/>
      <c r="K8">
        <v>5</v>
      </c>
      <c r="L8">
        <v>339.299286</v>
      </c>
      <c r="M8">
        <v>334.46</v>
      </c>
      <c r="N8" s="6">
        <f t="shared" si="2"/>
        <v>1.4468952939066004E-2</v>
      </c>
      <c r="P8">
        <v>5</v>
      </c>
      <c r="Q8">
        <v>347.35494999999997</v>
      </c>
      <c r="R8">
        <v>323.73</v>
      </c>
      <c r="S8" s="6">
        <f t="shared" si="3"/>
        <v>7.2977326784666091E-2</v>
      </c>
      <c r="U8">
        <v>5</v>
      </c>
      <c r="V8">
        <v>338.669556</v>
      </c>
      <c r="W8">
        <v>321.32</v>
      </c>
      <c r="X8" s="6">
        <f t="shared" si="4"/>
        <v>5.3994634632142435E-2</v>
      </c>
      <c r="Z8">
        <v>5</v>
      </c>
      <c r="AA8">
        <v>358.778076</v>
      </c>
      <c r="AB8">
        <v>338.82</v>
      </c>
      <c r="AC8" s="6">
        <f t="shared" si="5"/>
        <v>5.8904657340180647E-2</v>
      </c>
      <c r="AE8">
        <v>5</v>
      </c>
      <c r="AF8">
        <v>364.68264799999997</v>
      </c>
      <c r="AG8">
        <v>467.44</v>
      </c>
      <c r="AH8" s="6">
        <f t="shared" si="6"/>
        <v>0.21983003594044162</v>
      </c>
      <c r="AJ8">
        <v>5</v>
      </c>
      <c r="AK8">
        <v>367.93237299999998</v>
      </c>
      <c r="AL8">
        <v>342.23</v>
      </c>
      <c r="AM8" s="6">
        <f t="shared" si="7"/>
        <v>7.5102629810361352E-2</v>
      </c>
      <c r="AO8">
        <v>5</v>
      </c>
      <c r="AP8">
        <v>341.59442100000001</v>
      </c>
      <c r="AQ8">
        <v>295.89</v>
      </c>
      <c r="AR8" s="6">
        <f t="shared" si="8"/>
        <v>0.15446422995031947</v>
      </c>
      <c r="AT8">
        <v>5</v>
      </c>
      <c r="AU8">
        <v>352.53949</v>
      </c>
      <c r="AV8">
        <v>342</v>
      </c>
      <c r="AW8" s="6">
        <f t="shared" si="9"/>
        <v>3.0817222222222225E-2</v>
      </c>
      <c r="AY8">
        <v>5</v>
      </c>
      <c r="AZ8">
        <v>362.70095800000001</v>
      </c>
      <c r="BA8">
        <v>323.08</v>
      </c>
      <c r="BB8" s="6">
        <f t="shared" si="10"/>
        <v>0.12263513061780373</v>
      </c>
      <c r="BD8">
        <v>5</v>
      </c>
      <c r="BE8">
        <v>352.81994600000002</v>
      </c>
      <c r="BF8">
        <v>332.35</v>
      </c>
      <c r="BG8" s="6">
        <f t="shared" si="11"/>
        <v>6.1591533022416101E-2</v>
      </c>
    </row>
    <row r="9" spans="1:59" x14ac:dyDescent="0.25">
      <c r="A9" s="8">
        <v>6</v>
      </c>
      <c r="B9" s="8">
        <v>341.57269300000002</v>
      </c>
      <c r="C9" s="9">
        <v>292.83</v>
      </c>
      <c r="D9" s="6">
        <f t="shared" si="0"/>
        <v>0.16645389133627031</v>
      </c>
      <c r="F9" s="5">
        <v>6</v>
      </c>
      <c r="G9" s="5">
        <v>324.89630099999999</v>
      </c>
      <c r="H9" s="5">
        <v>287</v>
      </c>
      <c r="I9" s="6">
        <f t="shared" si="1"/>
        <v>0.13204286062717768</v>
      </c>
      <c r="J9" s="5"/>
      <c r="K9">
        <v>6</v>
      </c>
      <c r="L9">
        <v>323.506348</v>
      </c>
      <c r="M9">
        <v>286.85000000000002</v>
      </c>
      <c r="N9" s="6">
        <f t="shared" si="2"/>
        <v>0.1277892557085584</v>
      </c>
      <c r="P9">
        <v>6</v>
      </c>
      <c r="Q9">
        <v>324.796875</v>
      </c>
      <c r="R9">
        <v>286.51</v>
      </c>
      <c r="S9" s="6">
        <f t="shared" si="3"/>
        <v>0.133631897665003</v>
      </c>
      <c r="U9">
        <v>6</v>
      </c>
      <c r="V9">
        <v>316.479919</v>
      </c>
      <c r="W9">
        <v>286.31</v>
      </c>
      <c r="X9" s="6">
        <f t="shared" si="4"/>
        <v>0.1053750096049736</v>
      </c>
      <c r="Z9">
        <v>6</v>
      </c>
      <c r="AA9">
        <v>330.114777</v>
      </c>
      <c r="AB9">
        <v>291.35000000000002</v>
      </c>
      <c r="AC9" s="6">
        <f t="shared" si="5"/>
        <v>0.13305226360048045</v>
      </c>
      <c r="AE9">
        <v>6</v>
      </c>
      <c r="AF9">
        <v>351.82574499999998</v>
      </c>
      <c r="AG9">
        <v>278.51</v>
      </c>
      <c r="AH9" s="6">
        <f t="shared" si="6"/>
        <v>0.26324277404761048</v>
      </c>
      <c r="AJ9">
        <v>6</v>
      </c>
      <c r="AK9">
        <v>336.68579099999999</v>
      </c>
      <c r="AL9">
        <v>278.81</v>
      </c>
      <c r="AM9" s="6">
        <f t="shared" si="7"/>
        <v>0.2075814748394964</v>
      </c>
      <c r="AO9">
        <v>6</v>
      </c>
      <c r="AP9">
        <v>329.48010299999999</v>
      </c>
      <c r="AQ9">
        <v>294.64</v>
      </c>
      <c r="AR9" s="6">
        <f t="shared" si="8"/>
        <v>0.11824634469182732</v>
      </c>
      <c r="AT9">
        <v>6</v>
      </c>
      <c r="AU9">
        <v>327.00320399999998</v>
      </c>
      <c r="AV9">
        <v>288.16000000000003</v>
      </c>
      <c r="AW9" s="6">
        <f t="shared" si="9"/>
        <v>0.13479734869516918</v>
      </c>
      <c r="AY9">
        <v>6</v>
      </c>
      <c r="AZ9">
        <v>327.49438500000002</v>
      </c>
      <c r="BA9">
        <v>280.32</v>
      </c>
      <c r="BB9" s="6">
        <f t="shared" si="10"/>
        <v>0.16828761772260284</v>
      </c>
      <c r="BD9">
        <v>6</v>
      </c>
      <c r="BE9">
        <v>311.66110200000003</v>
      </c>
      <c r="BF9">
        <v>290.01</v>
      </c>
      <c r="BG9" s="6">
        <f t="shared" si="11"/>
        <v>7.4656398055239603E-2</v>
      </c>
    </row>
    <row r="10" spans="1:59" x14ac:dyDescent="0.25">
      <c r="A10" s="8">
        <v>7</v>
      </c>
      <c r="B10" s="8">
        <v>327.70938100000001</v>
      </c>
      <c r="C10" s="9">
        <v>314.77</v>
      </c>
      <c r="D10" s="6">
        <f t="shared" si="0"/>
        <v>4.1107414937891246E-2</v>
      </c>
      <c r="F10" s="5">
        <v>7</v>
      </c>
      <c r="G10" s="5">
        <v>315.57724000000002</v>
      </c>
      <c r="H10" s="5">
        <v>305.83</v>
      </c>
      <c r="I10" s="6">
        <f t="shared" si="1"/>
        <v>3.1871431841219086E-2</v>
      </c>
      <c r="J10" s="5"/>
      <c r="K10">
        <v>7</v>
      </c>
      <c r="L10">
        <v>307.39044200000001</v>
      </c>
      <c r="M10">
        <v>290.52</v>
      </c>
      <c r="N10" s="6">
        <f t="shared" si="2"/>
        <v>5.806981274955262E-2</v>
      </c>
      <c r="P10">
        <v>7</v>
      </c>
      <c r="Q10">
        <v>298.40859999999998</v>
      </c>
      <c r="R10">
        <v>281.94</v>
      </c>
      <c r="S10" s="6">
        <f t="shared" si="3"/>
        <v>5.8411718805419524E-2</v>
      </c>
      <c r="U10">
        <v>7</v>
      </c>
      <c r="V10">
        <v>299.104919</v>
      </c>
      <c r="W10">
        <v>280.67</v>
      </c>
      <c r="X10" s="6">
        <f t="shared" si="4"/>
        <v>6.5681829194427541E-2</v>
      </c>
      <c r="Z10">
        <v>7</v>
      </c>
      <c r="AA10">
        <v>302.787689</v>
      </c>
      <c r="AB10">
        <v>290.2</v>
      </c>
      <c r="AC10" s="6">
        <f t="shared" si="5"/>
        <v>4.3375909717436295E-2</v>
      </c>
      <c r="AE10">
        <v>7</v>
      </c>
      <c r="AF10">
        <v>352.77407799999997</v>
      </c>
      <c r="AG10">
        <v>299.11</v>
      </c>
      <c r="AH10" s="6">
        <f t="shared" si="6"/>
        <v>0.17941251713416456</v>
      </c>
      <c r="AJ10">
        <v>7</v>
      </c>
      <c r="AK10">
        <v>339.596588</v>
      </c>
      <c r="AL10">
        <v>316.93</v>
      </c>
      <c r="AM10" s="6">
        <f t="shared" si="7"/>
        <v>7.1519225065471842E-2</v>
      </c>
      <c r="AO10">
        <v>7</v>
      </c>
      <c r="AP10">
        <v>339.28533900000002</v>
      </c>
      <c r="AQ10">
        <v>275.51</v>
      </c>
      <c r="AR10" s="6">
        <f t="shared" si="8"/>
        <v>0.23148103154150496</v>
      </c>
      <c r="AT10">
        <v>7</v>
      </c>
      <c r="AU10">
        <v>326.177368</v>
      </c>
      <c r="AV10">
        <v>281.92</v>
      </c>
      <c r="AW10" s="6">
        <f t="shared" si="9"/>
        <v>0.15698555618615204</v>
      </c>
      <c r="AY10">
        <v>7</v>
      </c>
      <c r="AZ10">
        <v>327.32562300000001</v>
      </c>
      <c r="BA10">
        <v>229.53</v>
      </c>
      <c r="BB10" s="6">
        <f t="shared" si="10"/>
        <v>0.4260690236570383</v>
      </c>
      <c r="BD10">
        <v>7</v>
      </c>
      <c r="BE10">
        <v>307.02587899999997</v>
      </c>
      <c r="BF10">
        <v>168</v>
      </c>
      <c r="BG10" s="6">
        <f t="shared" si="11"/>
        <v>0.82753499404761888</v>
      </c>
    </row>
    <row r="11" spans="1:59" x14ac:dyDescent="0.25">
      <c r="A11" s="8">
        <v>8</v>
      </c>
      <c r="B11" s="8">
        <v>332.07867399999998</v>
      </c>
      <c r="C11" s="9">
        <v>325.61</v>
      </c>
      <c r="D11" s="6">
        <f t="shared" si="0"/>
        <v>1.9866324744325925E-2</v>
      </c>
      <c r="F11" s="5">
        <v>8</v>
      </c>
      <c r="G11" s="5">
        <v>325.029968</v>
      </c>
      <c r="H11" s="5">
        <v>323.01</v>
      </c>
      <c r="I11" s="6">
        <f t="shared" si="1"/>
        <v>6.2535772886288532E-3</v>
      </c>
      <c r="J11" s="5"/>
      <c r="K11">
        <v>8</v>
      </c>
      <c r="L11">
        <v>309.93710299999998</v>
      </c>
      <c r="M11">
        <v>304.12</v>
      </c>
      <c r="N11" s="6">
        <f t="shared" si="2"/>
        <v>1.9127656845981767E-2</v>
      </c>
      <c r="P11">
        <v>8</v>
      </c>
      <c r="Q11">
        <v>294.47979700000002</v>
      </c>
      <c r="R11">
        <v>304.91000000000003</v>
      </c>
      <c r="S11" s="6">
        <f t="shared" si="3"/>
        <v>3.4207480896002118E-2</v>
      </c>
      <c r="U11">
        <v>8</v>
      </c>
      <c r="V11">
        <v>296.02310199999999</v>
      </c>
      <c r="W11">
        <v>305</v>
      </c>
      <c r="X11" s="6">
        <f t="shared" si="4"/>
        <v>2.9432452459016413E-2</v>
      </c>
      <c r="Z11">
        <v>8</v>
      </c>
      <c r="AA11">
        <v>289.10327100000001</v>
      </c>
      <c r="AB11">
        <v>309.10000000000002</v>
      </c>
      <c r="AC11" s="6">
        <f t="shared" si="5"/>
        <v>6.4693396958913019E-2</v>
      </c>
      <c r="AE11">
        <v>8</v>
      </c>
      <c r="AF11">
        <v>319.23556500000001</v>
      </c>
      <c r="AG11">
        <v>304.20999999999998</v>
      </c>
      <c r="AH11" s="6">
        <f t="shared" si="6"/>
        <v>4.939208112816814E-2</v>
      </c>
      <c r="AJ11">
        <v>8</v>
      </c>
      <c r="AK11">
        <v>295.11547899999999</v>
      </c>
      <c r="AL11">
        <v>314.16000000000003</v>
      </c>
      <c r="AM11" s="6">
        <f t="shared" si="7"/>
        <v>6.0620451362363222E-2</v>
      </c>
      <c r="AO11">
        <v>8</v>
      </c>
      <c r="AP11">
        <v>316.17691000000002</v>
      </c>
      <c r="AQ11">
        <v>311.16000000000003</v>
      </c>
      <c r="AR11" s="6">
        <f t="shared" si="8"/>
        <v>1.6123248489523061E-2</v>
      </c>
      <c r="AT11">
        <v>8</v>
      </c>
      <c r="AU11">
        <v>306.24642899999998</v>
      </c>
      <c r="AV11">
        <v>296.18</v>
      </c>
      <c r="AW11" s="6">
        <f t="shared" si="9"/>
        <v>3.3987537983658486E-2</v>
      </c>
      <c r="AY11">
        <v>8</v>
      </c>
      <c r="AZ11">
        <v>304.30599999999998</v>
      </c>
      <c r="BA11">
        <v>301.54000000000002</v>
      </c>
      <c r="BB11" s="6">
        <f t="shared" si="10"/>
        <v>9.1729123830999616E-3</v>
      </c>
      <c r="BD11">
        <v>8</v>
      </c>
      <c r="BE11">
        <v>299.138214</v>
      </c>
      <c r="BF11">
        <v>283.83</v>
      </c>
      <c r="BG11" s="6">
        <f t="shared" si="11"/>
        <v>5.3934446675827155E-2</v>
      </c>
    </row>
    <row r="12" spans="1:59" x14ac:dyDescent="0.25">
      <c r="A12" s="8">
        <v>9</v>
      </c>
      <c r="B12" s="8">
        <v>285.58117700000003</v>
      </c>
      <c r="C12" s="9">
        <v>281.02</v>
      </c>
      <c r="D12" s="6">
        <f t="shared" si="0"/>
        <v>1.6230791402747292E-2</v>
      </c>
      <c r="F12" s="5">
        <v>9</v>
      </c>
      <c r="G12" s="5">
        <v>297.48904399999998</v>
      </c>
      <c r="H12" s="5">
        <v>293.60000000000002</v>
      </c>
      <c r="I12" s="6">
        <f t="shared" si="1"/>
        <v>1.3246062670299576E-2</v>
      </c>
      <c r="J12" s="5"/>
      <c r="K12">
        <v>9</v>
      </c>
      <c r="L12">
        <v>282.78964200000001</v>
      </c>
      <c r="M12">
        <v>281.14</v>
      </c>
      <c r="N12" s="6">
        <f t="shared" si="2"/>
        <v>5.8676886960234353E-3</v>
      </c>
      <c r="P12">
        <v>9</v>
      </c>
      <c r="Q12">
        <v>267.59695399999998</v>
      </c>
      <c r="R12">
        <v>268.62</v>
      </c>
      <c r="S12" s="6">
        <f t="shared" si="3"/>
        <v>3.8085250539796815E-3</v>
      </c>
      <c r="U12">
        <v>9</v>
      </c>
      <c r="V12">
        <v>271.076752</v>
      </c>
      <c r="W12">
        <v>268.67</v>
      </c>
      <c r="X12" s="6">
        <f t="shared" si="4"/>
        <v>8.9580228533144117E-3</v>
      </c>
      <c r="Z12">
        <v>9</v>
      </c>
      <c r="AA12">
        <v>255.95536799999999</v>
      </c>
      <c r="AB12">
        <v>268.63</v>
      </c>
      <c r="AC12" s="6">
        <f t="shared" si="5"/>
        <v>4.7182488925287577E-2</v>
      </c>
      <c r="AE12">
        <v>9</v>
      </c>
      <c r="AF12">
        <v>290.50460800000002</v>
      </c>
      <c r="AG12">
        <v>268.57</v>
      </c>
      <c r="AH12" s="6">
        <f t="shared" si="6"/>
        <v>8.1671847190676647E-2</v>
      </c>
      <c r="AJ12">
        <v>9</v>
      </c>
      <c r="AK12">
        <v>225.24121099999999</v>
      </c>
      <c r="AL12">
        <v>268.58</v>
      </c>
      <c r="AM12" s="6">
        <f t="shared" si="7"/>
        <v>0.16136268151016456</v>
      </c>
      <c r="AO12">
        <v>9</v>
      </c>
      <c r="AP12">
        <v>256.80041499999999</v>
      </c>
      <c r="AQ12">
        <v>271.55</v>
      </c>
      <c r="AR12" s="6">
        <f t="shared" si="8"/>
        <v>5.4316276928742496E-2</v>
      </c>
      <c r="AT12">
        <v>9</v>
      </c>
      <c r="AU12">
        <v>247.91644299999999</v>
      </c>
      <c r="AV12">
        <v>287.91000000000003</v>
      </c>
      <c r="AW12" s="6">
        <f t="shared" si="9"/>
        <v>0.13890992671320912</v>
      </c>
      <c r="AY12">
        <v>9</v>
      </c>
      <c r="AZ12">
        <v>235.842896</v>
      </c>
      <c r="BA12">
        <v>287.47000000000003</v>
      </c>
      <c r="BB12" s="6">
        <f t="shared" si="10"/>
        <v>0.17959127561136823</v>
      </c>
      <c r="BD12">
        <v>9</v>
      </c>
      <c r="BE12">
        <v>242.307312</v>
      </c>
      <c r="BF12">
        <v>184.27</v>
      </c>
      <c r="BG12" s="6">
        <f t="shared" si="11"/>
        <v>0.31495800727193785</v>
      </c>
    </row>
    <row r="13" spans="1:59" x14ac:dyDescent="0.25">
      <c r="A13" s="8">
        <v>10</v>
      </c>
      <c r="B13" s="8">
        <v>241.21902499999999</v>
      </c>
      <c r="C13" s="9">
        <v>335.41</v>
      </c>
      <c r="D13" s="6">
        <f t="shared" si="0"/>
        <v>0.28082339524760752</v>
      </c>
      <c r="F13" s="5">
        <v>10</v>
      </c>
      <c r="G13" s="5">
        <v>281.48226899999997</v>
      </c>
      <c r="H13" s="5">
        <v>282.7</v>
      </c>
      <c r="I13" s="6">
        <f t="shared" si="1"/>
        <v>4.3075026529890868E-3</v>
      </c>
      <c r="J13" s="5"/>
      <c r="K13">
        <v>10</v>
      </c>
      <c r="L13">
        <v>255.249832</v>
      </c>
      <c r="M13">
        <v>262.42</v>
      </c>
      <c r="N13" s="6">
        <f t="shared" si="2"/>
        <v>2.732325280085366E-2</v>
      </c>
      <c r="P13">
        <v>10</v>
      </c>
      <c r="Q13">
        <v>224.04020700000001</v>
      </c>
      <c r="R13">
        <v>239.82</v>
      </c>
      <c r="S13" s="6">
        <f t="shared" si="3"/>
        <v>6.579848636477352E-2</v>
      </c>
      <c r="U13">
        <v>10</v>
      </c>
      <c r="V13">
        <v>243.81956500000001</v>
      </c>
      <c r="W13">
        <v>260.37</v>
      </c>
      <c r="X13" s="6">
        <f t="shared" si="4"/>
        <v>6.3565061258977582E-2</v>
      </c>
      <c r="Z13">
        <v>10</v>
      </c>
      <c r="AA13">
        <v>250.333618</v>
      </c>
      <c r="AB13">
        <v>271.51</v>
      </c>
      <c r="AC13" s="6">
        <f t="shared" si="5"/>
        <v>7.7994851018378664E-2</v>
      </c>
      <c r="AE13">
        <v>10</v>
      </c>
      <c r="AF13">
        <v>246.242401</v>
      </c>
      <c r="AG13">
        <v>294.24</v>
      </c>
      <c r="AH13" s="6">
        <f t="shared" si="6"/>
        <v>0.16312397702555739</v>
      </c>
      <c r="AJ13">
        <v>10</v>
      </c>
      <c r="AK13">
        <v>276.77050800000001</v>
      </c>
      <c r="AL13">
        <v>311.33999999999997</v>
      </c>
      <c r="AM13" s="6">
        <f t="shared" si="7"/>
        <v>0.11103453459240692</v>
      </c>
      <c r="AO13">
        <v>10</v>
      </c>
      <c r="AP13">
        <v>241.73211699999999</v>
      </c>
      <c r="AQ13">
        <v>329.9</v>
      </c>
      <c r="AR13" s="6">
        <f t="shared" si="8"/>
        <v>0.26725638981509547</v>
      </c>
      <c r="AT13">
        <v>10</v>
      </c>
      <c r="AU13">
        <v>258.03103599999997</v>
      </c>
      <c r="AV13">
        <v>325.89</v>
      </c>
      <c r="AW13" s="6">
        <f t="shared" si="9"/>
        <v>0.20822659179477743</v>
      </c>
      <c r="AY13">
        <v>10</v>
      </c>
      <c r="AZ13">
        <v>291.40896600000002</v>
      </c>
      <c r="BA13">
        <v>329.87</v>
      </c>
      <c r="BB13" s="6">
        <f t="shared" si="10"/>
        <v>0.1165945190529602</v>
      </c>
      <c r="BD13">
        <v>10</v>
      </c>
      <c r="BE13">
        <v>326.82092299999999</v>
      </c>
      <c r="BF13">
        <v>335.54</v>
      </c>
      <c r="BG13" s="6">
        <f t="shared" si="11"/>
        <v>2.5985208916969739E-2</v>
      </c>
    </row>
    <row r="14" spans="1:59" x14ac:dyDescent="0.25">
      <c r="A14" s="8">
        <v>11</v>
      </c>
      <c r="B14" s="8">
        <v>314.42401100000001</v>
      </c>
      <c r="C14" s="9">
        <v>311.64</v>
      </c>
      <c r="D14" s="6">
        <f t="shared" si="0"/>
        <v>8.9334199717623578E-3</v>
      </c>
      <c r="F14" s="5">
        <v>11</v>
      </c>
      <c r="G14" s="5">
        <v>316.62445100000002</v>
      </c>
      <c r="H14" s="5">
        <v>317.05</v>
      </c>
      <c r="I14" s="6">
        <f t="shared" si="1"/>
        <v>1.3422141618040988E-3</v>
      </c>
      <c r="J14" s="5"/>
      <c r="K14">
        <v>11</v>
      </c>
      <c r="L14">
        <v>301.77230800000001</v>
      </c>
      <c r="M14">
        <v>306.73</v>
      </c>
      <c r="N14" s="6">
        <f t="shared" si="2"/>
        <v>1.6163048935545946E-2</v>
      </c>
      <c r="P14">
        <v>11</v>
      </c>
      <c r="Q14">
        <v>285.72302200000001</v>
      </c>
      <c r="R14">
        <v>301.66000000000003</v>
      </c>
      <c r="S14" s="6">
        <f t="shared" si="3"/>
        <v>5.2830928860306332E-2</v>
      </c>
      <c r="U14">
        <v>11</v>
      </c>
      <c r="V14">
        <v>299.55297899999999</v>
      </c>
      <c r="W14">
        <v>306.76</v>
      </c>
      <c r="X14" s="6">
        <f t="shared" si="4"/>
        <v>2.3494005085408783E-2</v>
      </c>
      <c r="Z14">
        <v>11</v>
      </c>
      <c r="AA14">
        <v>307.34347500000001</v>
      </c>
      <c r="AB14">
        <v>312.8</v>
      </c>
      <c r="AC14" s="6">
        <f t="shared" si="5"/>
        <v>1.744413363171355E-2</v>
      </c>
      <c r="AE14">
        <v>11</v>
      </c>
      <c r="AF14">
        <v>323.39898699999998</v>
      </c>
      <c r="AG14">
        <v>361.41</v>
      </c>
      <c r="AH14" s="6">
        <f t="shared" si="6"/>
        <v>0.10517421488060665</v>
      </c>
      <c r="AJ14">
        <v>11</v>
      </c>
      <c r="AK14">
        <v>342.51522799999998</v>
      </c>
      <c r="AL14">
        <v>474.13</v>
      </c>
      <c r="AM14" s="6">
        <f t="shared" si="7"/>
        <v>0.27759216248708163</v>
      </c>
      <c r="AO14">
        <v>11</v>
      </c>
      <c r="AP14">
        <v>307.59072900000001</v>
      </c>
      <c r="AQ14">
        <v>476.9</v>
      </c>
      <c r="AR14" s="6">
        <f t="shared" si="8"/>
        <v>0.35502048857202761</v>
      </c>
      <c r="AT14">
        <v>11</v>
      </c>
      <c r="AU14">
        <v>320.82595800000001</v>
      </c>
      <c r="AV14">
        <v>457.5</v>
      </c>
      <c r="AW14" s="6">
        <f t="shared" si="9"/>
        <v>0.29874107540983602</v>
      </c>
      <c r="AY14">
        <v>11</v>
      </c>
      <c r="AZ14">
        <v>325.795074</v>
      </c>
      <c r="BA14">
        <v>353.96</v>
      </c>
      <c r="BB14" s="6">
        <f t="shared" si="10"/>
        <v>7.9570928918521813E-2</v>
      </c>
      <c r="BD14">
        <v>11</v>
      </c>
      <c r="BE14">
        <v>318.87701399999997</v>
      </c>
      <c r="BF14">
        <v>353.43</v>
      </c>
      <c r="BG14" s="6">
        <f t="shared" si="11"/>
        <v>9.7764722858840594E-2</v>
      </c>
    </row>
    <row r="15" spans="1:59" x14ac:dyDescent="0.25">
      <c r="A15" s="8">
        <v>12</v>
      </c>
      <c r="B15" s="8">
        <v>338.62420700000001</v>
      </c>
      <c r="C15" s="9">
        <v>290.35000000000002</v>
      </c>
      <c r="D15" s="6">
        <f t="shared" si="0"/>
        <v>0.16626212157740652</v>
      </c>
      <c r="F15" s="5">
        <v>12</v>
      </c>
      <c r="G15" s="5">
        <v>320.843323</v>
      </c>
      <c r="H15" s="5">
        <v>286.47000000000003</v>
      </c>
      <c r="I15" s="6">
        <f t="shared" si="1"/>
        <v>0.11998925891018246</v>
      </c>
      <c r="J15" s="5"/>
      <c r="K15">
        <v>12</v>
      </c>
      <c r="L15">
        <v>314.170074</v>
      </c>
      <c r="M15">
        <v>290.76</v>
      </c>
      <c r="N15" s="6">
        <f t="shared" si="2"/>
        <v>8.051339248865047E-2</v>
      </c>
      <c r="P15">
        <v>12</v>
      </c>
      <c r="Q15">
        <v>308.19281000000001</v>
      </c>
      <c r="R15">
        <v>297.7</v>
      </c>
      <c r="S15" s="6">
        <f t="shared" si="3"/>
        <v>3.5246254618743769E-2</v>
      </c>
      <c r="U15">
        <v>12</v>
      </c>
      <c r="V15">
        <v>313.38906900000001</v>
      </c>
      <c r="W15">
        <v>305.81</v>
      </c>
      <c r="X15" s="6">
        <f t="shared" si="4"/>
        <v>2.4783587848664218E-2</v>
      </c>
      <c r="Z15">
        <v>12</v>
      </c>
      <c r="AA15">
        <v>325.84316999999999</v>
      </c>
      <c r="AB15">
        <v>297.7</v>
      </c>
      <c r="AC15" s="6">
        <f t="shared" si="5"/>
        <v>9.4535337588176019E-2</v>
      </c>
      <c r="AE15">
        <v>12</v>
      </c>
      <c r="AF15">
        <v>348.712738</v>
      </c>
      <c r="AG15">
        <v>351.52</v>
      </c>
      <c r="AH15" s="6">
        <f t="shared" si="6"/>
        <v>7.9860662266726789E-3</v>
      </c>
      <c r="AJ15">
        <v>12</v>
      </c>
      <c r="AK15">
        <v>359.91662600000001</v>
      </c>
      <c r="AL15">
        <v>425.44</v>
      </c>
      <c r="AM15" s="6">
        <f t="shared" si="7"/>
        <v>0.15401319575028205</v>
      </c>
      <c r="AO15">
        <v>12</v>
      </c>
      <c r="AP15">
        <v>326.04779100000002</v>
      </c>
      <c r="AQ15">
        <v>361.87</v>
      </c>
      <c r="AR15" s="6">
        <f t="shared" si="8"/>
        <v>9.8991928040456478E-2</v>
      </c>
      <c r="AT15">
        <v>12</v>
      </c>
      <c r="AU15">
        <v>332.97778299999999</v>
      </c>
      <c r="AV15">
        <v>360.28</v>
      </c>
      <c r="AW15" s="6">
        <f t="shared" si="9"/>
        <v>7.5780551237926014E-2</v>
      </c>
      <c r="AY15">
        <v>12</v>
      </c>
      <c r="AZ15">
        <v>344.96142600000002</v>
      </c>
      <c r="BA15">
        <v>359.32</v>
      </c>
      <c r="BB15" s="6">
        <f t="shared" si="10"/>
        <v>3.9960408549482289E-2</v>
      </c>
      <c r="BD15">
        <v>12</v>
      </c>
      <c r="BE15">
        <v>331.67941300000001</v>
      </c>
      <c r="BF15">
        <v>380.82</v>
      </c>
      <c r="BG15" s="6">
        <f t="shared" si="11"/>
        <v>0.12903888188645549</v>
      </c>
    </row>
    <row r="16" spans="1:59" x14ac:dyDescent="0.25">
      <c r="A16" s="8">
        <v>13</v>
      </c>
      <c r="B16" s="8">
        <v>366.02844199999998</v>
      </c>
      <c r="C16" s="9">
        <v>317.20999999999998</v>
      </c>
      <c r="D16" s="6">
        <f t="shared" si="0"/>
        <v>0.15389944201002492</v>
      </c>
      <c r="F16" s="5">
        <v>13</v>
      </c>
      <c r="G16" s="5">
        <v>341.66095000000001</v>
      </c>
      <c r="H16" s="5">
        <v>315.54000000000002</v>
      </c>
      <c r="I16" s="6">
        <f t="shared" si="1"/>
        <v>8.2781739240666771E-2</v>
      </c>
      <c r="J16" s="5"/>
      <c r="K16">
        <v>13</v>
      </c>
      <c r="L16">
        <v>335.79931599999998</v>
      </c>
      <c r="M16">
        <v>311.69</v>
      </c>
      <c r="N16" s="6">
        <f t="shared" si="2"/>
        <v>7.7350303185857672E-2</v>
      </c>
      <c r="P16">
        <v>13</v>
      </c>
      <c r="Q16">
        <v>344.30599999999998</v>
      </c>
      <c r="R16">
        <v>314.64</v>
      </c>
      <c r="S16" s="6">
        <f t="shared" si="3"/>
        <v>9.428553267226035E-2</v>
      </c>
      <c r="U16">
        <v>13</v>
      </c>
      <c r="V16">
        <v>329.29574600000001</v>
      </c>
      <c r="W16">
        <v>320.7</v>
      </c>
      <c r="X16" s="6">
        <f t="shared" si="4"/>
        <v>2.6803074524477766E-2</v>
      </c>
      <c r="Z16">
        <v>13</v>
      </c>
      <c r="AA16">
        <v>343.52014200000002</v>
      </c>
      <c r="AB16">
        <v>324.99</v>
      </c>
      <c r="AC16" s="6">
        <f t="shared" si="5"/>
        <v>5.7017575925413122E-2</v>
      </c>
      <c r="AE16">
        <v>13</v>
      </c>
      <c r="AF16">
        <v>379.04229700000002</v>
      </c>
      <c r="AG16">
        <v>333.76</v>
      </c>
      <c r="AH16" s="6">
        <f t="shared" si="6"/>
        <v>0.13567322926653891</v>
      </c>
      <c r="AJ16">
        <v>13</v>
      </c>
      <c r="AK16">
        <v>365.77209499999998</v>
      </c>
      <c r="AL16">
        <v>356.17</v>
      </c>
      <c r="AM16" s="6">
        <f t="shared" si="7"/>
        <v>2.6959303141758043E-2</v>
      </c>
      <c r="AO16">
        <v>13</v>
      </c>
      <c r="AP16">
        <v>347.37719700000002</v>
      </c>
      <c r="AQ16">
        <v>451.86</v>
      </c>
      <c r="AR16" s="6">
        <f t="shared" si="8"/>
        <v>0.23122826317886069</v>
      </c>
      <c r="AT16">
        <v>13</v>
      </c>
      <c r="AU16">
        <v>349.72228999999999</v>
      </c>
      <c r="AV16">
        <v>485.27</v>
      </c>
      <c r="AW16" s="6">
        <f t="shared" si="9"/>
        <v>0.27932431429925608</v>
      </c>
      <c r="AY16">
        <v>13</v>
      </c>
      <c r="AZ16">
        <v>361.37716699999999</v>
      </c>
      <c r="BA16">
        <v>373.6</v>
      </c>
      <c r="BB16" s="6">
        <f t="shared" si="10"/>
        <v>3.2716362419700308E-2</v>
      </c>
      <c r="BD16">
        <v>13</v>
      </c>
      <c r="BE16">
        <v>348.47549400000003</v>
      </c>
      <c r="BF16">
        <v>372.11</v>
      </c>
      <c r="BG16" s="6">
        <f t="shared" si="11"/>
        <v>6.3514837010561362E-2</v>
      </c>
    </row>
    <row r="17" spans="1:59" x14ac:dyDescent="0.25">
      <c r="A17" s="8">
        <v>14</v>
      </c>
      <c r="B17" s="8">
        <v>384.04083300000002</v>
      </c>
      <c r="C17" s="9">
        <v>387.04</v>
      </c>
      <c r="D17" s="6">
        <f t="shared" si="0"/>
        <v>7.748984601074824E-3</v>
      </c>
      <c r="F17" s="5">
        <v>14</v>
      </c>
      <c r="G17" s="5">
        <v>354.91427599999997</v>
      </c>
      <c r="H17" s="5">
        <v>360.33</v>
      </c>
      <c r="I17" s="6">
        <f t="shared" si="1"/>
        <v>1.502990036910613E-2</v>
      </c>
      <c r="J17" s="5"/>
      <c r="K17">
        <v>14</v>
      </c>
      <c r="L17">
        <v>350.501282</v>
      </c>
      <c r="M17">
        <v>351.89</v>
      </c>
      <c r="N17" s="6">
        <f t="shared" si="2"/>
        <v>3.9464548580521843E-3</v>
      </c>
      <c r="P17">
        <v>14</v>
      </c>
      <c r="Q17">
        <v>367.17056300000002</v>
      </c>
      <c r="R17">
        <v>339.65</v>
      </c>
      <c r="S17" s="6">
        <f t="shared" si="3"/>
        <v>8.1026241719417164E-2</v>
      </c>
      <c r="U17">
        <v>14</v>
      </c>
      <c r="V17">
        <v>346.47540300000003</v>
      </c>
      <c r="W17">
        <v>338.84</v>
      </c>
      <c r="X17" s="6">
        <f t="shared" si="4"/>
        <v>2.2533948176130487E-2</v>
      </c>
      <c r="Z17">
        <v>14</v>
      </c>
      <c r="AA17">
        <v>358.97799700000002</v>
      </c>
      <c r="AB17">
        <v>341.59</v>
      </c>
      <c r="AC17" s="6">
        <f t="shared" si="5"/>
        <v>5.0903120700254816E-2</v>
      </c>
      <c r="AE17">
        <v>14</v>
      </c>
      <c r="AF17">
        <v>390.95382699999999</v>
      </c>
      <c r="AG17">
        <v>351.08</v>
      </c>
      <c r="AH17" s="6">
        <f t="shared" si="6"/>
        <v>0.11357476073829328</v>
      </c>
      <c r="AJ17">
        <v>14</v>
      </c>
      <c r="AK17">
        <v>369.04904199999999</v>
      </c>
      <c r="AL17">
        <v>364.22</v>
      </c>
      <c r="AM17" s="6">
        <f t="shared" si="7"/>
        <v>1.3258585470320021E-2</v>
      </c>
      <c r="AO17">
        <v>14</v>
      </c>
      <c r="AP17">
        <v>370.701843</v>
      </c>
      <c r="AQ17">
        <v>363.15</v>
      </c>
      <c r="AR17" s="6">
        <f t="shared" si="8"/>
        <v>2.0795382073523393E-2</v>
      </c>
      <c r="AT17">
        <v>14</v>
      </c>
      <c r="AU17">
        <v>375.91717499999999</v>
      </c>
      <c r="AV17">
        <v>387.57</v>
      </c>
      <c r="AW17" s="6">
        <f t="shared" si="9"/>
        <v>3.0066375106432404E-2</v>
      </c>
      <c r="AY17">
        <v>14</v>
      </c>
      <c r="AZ17">
        <v>381.58221400000002</v>
      </c>
      <c r="BA17">
        <v>342.68</v>
      </c>
      <c r="BB17" s="6">
        <f t="shared" si="10"/>
        <v>0.11352344461305011</v>
      </c>
      <c r="BD17">
        <v>14</v>
      </c>
      <c r="BE17">
        <v>363.69454999999999</v>
      </c>
      <c r="BF17">
        <v>368.74</v>
      </c>
      <c r="BG17" s="6">
        <f t="shared" si="11"/>
        <v>1.3682947334165039E-2</v>
      </c>
    </row>
    <row r="18" spans="1:59" x14ac:dyDescent="0.25">
      <c r="A18" s="8">
        <v>15</v>
      </c>
      <c r="B18" s="8">
        <v>399.195404</v>
      </c>
      <c r="C18" s="9">
        <v>398.78</v>
      </c>
      <c r="D18" s="6">
        <f t="shared" si="0"/>
        <v>1.0416871457947332E-3</v>
      </c>
      <c r="F18" s="5">
        <v>15</v>
      </c>
      <c r="G18" s="5">
        <v>374.07055700000001</v>
      </c>
      <c r="H18" s="5">
        <v>356.55</v>
      </c>
      <c r="I18" s="6">
        <f t="shared" si="1"/>
        <v>4.9139130556724149E-2</v>
      </c>
      <c r="J18" s="5"/>
      <c r="K18">
        <v>15</v>
      </c>
      <c r="L18">
        <v>369.11450200000002</v>
      </c>
      <c r="M18">
        <v>342.29</v>
      </c>
      <c r="N18" s="6">
        <f t="shared" si="2"/>
        <v>7.83677641765754E-2</v>
      </c>
      <c r="P18">
        <v>15</v>
      </c>
      <c r="Q18">
        <v>394.875</v>
      </c>
      <c r="R18">
        <v>342.79</v>
      </c>
      <c r="S18" s="6">
        <f t="shared" si="3"/>
        <v>0.15194433909974028</v>
      </c>
      <c r="U18">
        <v>15</v>
      </c>
      <c r="V18">
        <v>366.697968</v>
      </c>
      <c r="W18">
        <v>341.06</v>
      </c>
      <c r="X18" s="6">
        <f t="shared" si="4"/>
        <v>7.5171430246877377E-2</v>
      </c>
      <c r="Z18">
        <v>15</v>
      </c>
      <c r="AA18">
        <v>366.54058800000001</v>
      </c>
      <c r="AB18">
        <v>343.78</v>
      </c>
      <c r="AC18" s="6">
        <f t="shared" si="5"/>
        <v>6.6206841584734555E-2</v>
      </c>
      <c r="AE18">
        <v>15</v>
      </c>
      <c r="AF18">
        <v>397.67156999999997</v>
      </c>
      <c r="AG18">
        <v>339.1</v>
      </c>
      <c r="AH18" s="6">
        <f t="shared" si="6"/>
        <v>0.17272654084340888</v>
      </c>
      <c r="AJ18">
        <v>15</v>
      </c>
      <c r="AK18">
        <v>363.07614100000001</v>
      </c>
      <c r="AL18">
        <v>364.35</v>
      </c>
      <c r="AM18" s="6">
        <f t="shared" si="7"/>
        <v>3.4962508576918232E-3</v>
      </c>
      <c r="AO18">
        <v>15</v>
      </c>
      <c r="AP18">
        <v>367.073151</v>
      </c>
      <c r="AQ18">
        <v>363.92</v>
      </c>
      <c r="AR18" s="6">
        <f t="shared" si="8"/>
        <v>8.6644070125301703E-3</v>
      </c>
      <c r="AT18">
        <v>15</v>
      </c>
      <c r="AU18">
        <v>361.68136600000003</v>
      </c>
      <c r="AV18">
        <v>372.54</v>
      </c>
      <c r="AW18" s="6">
        <f t="shared" si="9"/>
        <v>2.9147565362108753E-2</v>
      </c>
      <c r="AY18">
        <v>15</v>
      </c>
      <c r="AZ18">
        <v>357.87029999999999</v>
      </c>
      <c r="BA18">
        <v>368.14</v>
      </c>
      <c r="BB18" s="6">
        <f t="shared" si="10"/>
        <v>2.7896180800782312E-2</v>
      </c>
      <c r="BD18">
        <v>15</v>
      </c>
      <c r="BE18">
        <v>339.77871699999997</v>
      </c>
      <c r="BF18">
        <v>341.55</v>
      </c>
      <c r="BG18" s="6">
        <f t="shared" si="11"/>
        <v>5.1860137607964846E-3</v>
      </c>
    </row>
    <row r="19" spans="1:59" x14ac:dyDescent="0.25">
      <c r="A19" s="8">
        <v>16</v>
      </c>
      <c r="B19" s="8">
        <v>373.34478799999999</v>
      </c>
      <c r="C19" s="9">
        <v>360.04</v>
      </c>
      <c r="D19" s="6">
        <f t="shared" si="0"/>
        <v>3.6953638484612743E-2</v>
      </c>
      <c r="F19" s="5">
        <v>16</v>
      </c>
      <c r="G19" s="5">
        <v>350.236267</v>
      </c>
      <c r="H19" s="5">
        <v>344.54</v>
      </c>
      <c r="I19" s="6">
        <f t="shared" si="1"/>
        <v>1.6532962790967602E-2</v>
      </c>
      <c r="J19" s="5"/>
      <c r="K19">
        <v>16</v>
      </c>
      <c r="L19">
        <v>347.64172400000001</v>
      </c>
      <c r="M19">
        <v>360.67</v>
      </c>
      <c r="N19" s="6">
        <f t="shared" si="2"/>
        <v>3.6122427703995354E-2</v>
      </c>
      <c r="P19">
        <v>16</v>
      </c>
      <c r="Q19">
        <v>350.48040800000001</v>
      </c>
      <c r="R19">
        <v>361.77</v>
      </c>
      <c r="S19" s="6">
        <f t="shared" si="3"/>
        <v>3.1206545595267633E-2</v>
      </c>
      <c r="U19">
        <v>16</v>
      </c>
      <c r="V19">
        <v>325.19638099999997</v>
      </c>
      <c r="W19">
        <v>356.5</v>
      </c>
      <c r="X19" s="6">
        <f t="shared" si="4"/>
        <v>8.7808187938288998E-2</v>
      </c>
      <c r="Z19">
        <v>16</v>
      </c>
      <c r="AA19">
        <v>329.23916600000001</v>
      </c>
      <c r="AB19">
        <v>401.34</v>
      </c>
      <c r="AC19" s="6">
        <f t="shared" si="5"/>
        <v>0.17965025664025505</v>
      </c>
      <c r="AE19">
        <v>16</v>
      </c>
      <c r="AF19">
        <v>363.91494799999998</v>
      </c>
      <c r="AG19">
        <v>395.86</v>
      </c>
      <c r="AH19" s="6">
        <f t="shared" si="6"/>
        <v>8.0697852776234105E-2</v>
      </c>
      <c r="AJ19">
        <v>16</v>
      </c>
      <c r="AK19">
        <v>294.81140099999999</v>
      </c>
      <c r="AL19">
        <v>380.21</v>
      </c>
      <c r="AM19" s="6">
        <f t="shared" si="7"/>
        <v>0.22460902922069381</v>
      </c>
      <c r="AO19">
        <v>16</v>
      </c>
      <c r="AP19">
        <v>310.47842400000002</v>
      </c>
      <c r="AQ19">
        <v>336.7</v>
      </c>
      <c r="AR19" s="6">
        <f t="shared" si="8"/>
        <v>7.7878158598158512E-2</v>
      </c>
      <c r="AT19">
        <v>16</v>
      </c>
      <c r="AU19">
        <v>288.02145400000001</v>
      </c>
      <c r="AV19">
        <v>326.19</v>
      </c>
      <c r="AW19" s="6">
        <f t="shared" si="9"/>
        <v>0.11701323155216282</v>
      </c>
      <c r="AY19">
        <v>16</v>
      </c>
      <c r="AZ19">
        <v>279.12649499999998</v>
      </c>
      <c r="BA19">
        <v>305.10000000000002</v>
      </c>
      <c r="BB19" s="6">
        <f t="shared" si="10"/>
        <v>8.5131120943952948E-2</v>
      </c>
      <c r="BD19">
        <v>16</v>
      </c>
      <c r="BE19">
        <v>271.62652600000001</v>
      </c>
      <c r="BF19">
        <v>301.86</v>
      </c>
      <c r="BG19" s="6">
        <f t="shared" si="11"/>
        <v>0.10015727158285298</v>
      </c>
    </row>
    <row r="20" spans="1:59" x14ac:dyDescent="0.25">
      <c r="A20" s="8">
        <v>17</v>
      </c>
      <c r="B20" s="8">
        <v>272.65731799999998</v>
      </c>
      <c r="C20" s="9">
        <v>352.8</v>
      </c>
      <c r="D20" s="6">
        <f t="shared" si="0"/>
        <v>0.22716179705215428</v>
      </c>
      <c r="F20" s="5">
        <v>17</v>
      </c>
      <c r="G20" s="5">
        <v>273.255402</v>
      </c>
      <c r="H20" s="5">
        <v>345.72</v>
      </c>
      <c r="I20" s="6">
        <f t="shared" si="1"/>
        <v>0.20960487677889628</v>
      </c>
      <c r="J20" s="5"/>
      <c r="K20">
        <v>17</v>
      </c>
      <c r="L20">
        <v>272.60674999999998</v>
      </c>
      <c r="M20">
        <v>342.88</v>
      </c>
      <c r="N20" s="6">
        <f t="shared" si="2"/>
        <v>0.20494998250116664</v>
      </c>
      <c r="P20">
        <v>17</v>
      </c>
      <c r="Q20">
        <v>255.37492399999999</v>
      </c>
      <c r="R20">
        <v>339.24</v>
      </c>
      <c r="S20" s="6">
        <f t="shared" si="3"/>
        <v>0.24721458554415757</v>
      </c>
      <c r="U20">
        <v>17</v>
      </c>
      <c r="V20">
        <v>253.48573300000001</v>
      </c>
      <c r="W20">
        <v>344.66</v>
      </c>
      <c r="X20" s="6">
        <f t="shared" si="4"/>
        <v>0.26453393779376777</v>
      </c>
      <c r="Z20">
        <v>17</v>
      </c>
      <c r="AA20">
        <v>266.426941</v>
      </c>
      <c r="AB20">
        <v>372.79</v>
      </c>
      <c r="AC20" s="6">
        <f t="shared" si="5"/>
        <v>0.28531628799055775</v>
      </c>
      <c r="AE20">
        <v>17</v>
      </c>
      <c r="AF20">
        <v>236.33461</v>
      </c>
      <c r="AG20">
        <v>375.39</v>
      </c>
      <c r="AH20" s="6">
        <f t="shared" si="6"/>
        <v>0.37042912704121045</v>
      </c>
      <c r="AJ20">
        <v>17</v>
      </c>
      <c r="AK20">
        <v>233.83381700000001</v>
      </c>
      <c r="AL20">
        <v>373.4</v>
      </c>
      <c r="AM20" s="6">
        <f t="shared" si="7"/>
        <v>0.37377124531333683</v>
      </c>
      <c r="AO20">
        <v>17</v>
      </c>
      <c r="AP20">
        <v>197.640488</v>
      </c>
      <c r="AQ20">
        <v>344.77</v>
      </c>
      <c r="AR20" s="6">
        <f t="shared" si="8"/>
        <v>0.4267468515242045</v>
      </c>
      <c r="AT20">
        <v>17</v>
      </c>
      <c r="AU20">
        <v>210.71992499999999</v>
      </c>
      <c r="AV20">
        <v>339.01</v>
      </c>
      <c r="AW20" s="6">
        <f t="shared" si="9"/>
        <v>0.37842563641190524</v>
      </c>
      <c r="AY20">
        <v>17</v>
      </c>
      <c r="AZ20">
        <v>228.240601</v>
      </c>
      <c r="BA20">
        <v>328.67</v>
      </c>
      <c r="BB20" s="6">
        <f t="shared" si="10"/>
        <v>0.30556302370158522</v>
      </c>
      <c r="BD20">
        <v>17</v>
      </c>
      <c r="BE20">
        <v>250.70521500000001</v>
      </c>
      <c r="BF20">
        <v>338.37</v>
      </c>
      <c r="BG20" s="6">
        <f t="shared" si="11"/>
        <v>0.25907966131749266</v>
      </c>
    </row>
    <row r="21" spans="1:59" x14ac:dyDescent="0.25">
      <c r="A21" s="8">
        <v>18</v>
      </c>
      <c r="B21" s="8">
        <v>281.388824</v>
      </c>
      <c r="C21" s="9">
        <v>360.87</v>
      </c>
      <c r="D21" s="6">
        <f t="shared" si="0"/>
        <v>0.22024877656773909</v>
      </c>
      <c r="F21" s="5">
        <v>18</v>
      </c>
      <c r="G21" s="5">
        <v>310.18142699999999</v>
      </c>
      <c r="H21" s="5">
        <v>357.87</v>
      </c>
      <c r="I21" s="6">
        <f t="shared" si="1"/>
        <v>0.1332566937714813</v>
      </c>
      <c r="J21" s="5"/>
      <c r="K21">
        <v>18</v>
      </c>
      <c r="L21">
        <v>299.98159800000002</v>
      </c>
      <c r="M21">
        <v>349.45</v>
      </c>
      <c r="N21" s="6">
        <f t="shared" si="2"/>
        <v>0.14156074402632701</v>
      </c>
      <c r="P21">
        <v>18</v>
      </c>
      <c r="Q21">
        <v>276.010986</v>
      </c>
      <c r="R21">
        <v>348.96</v>
      </c>
      <c r="S21" s="6">
        <f t="shared" si="3"/>
        <v>0.2090469222833562</v>
      </c>
      <c r="U21">
        <v>18</v>
      </c>
      <c r="V21">
        <v>283.86868299999998</v>
      </c>
      <c r="W21">
        <v>353.16</v>
      </c>
      <c r="X21" s="6">
        <f t="shared" si="4"/>
        <v>0.19620375184052566</v>
      </c>
      <c r="Z21">
        <v>18</v>
      </c>
      <c r="AA21">
        <v>298.82251000000002</v>
      </c>
      <c r="AB21">
        <v>368.8</v>
      </c>
      <c r="AC21" s="6">
        <f t="shared" si="5"/>
        <v>0.18974373644251624</v>
      </c>
      <c r="AE21">
        <v>18</v>
      </c>
      <c r="AF21">
        <v>310.40792800000003</v>
      </c>
      <c r="AG21">
        <v>420.7</v>
      </c>
      <c r="AH21" s="6">
        <f t="shared" si="6"/>
        <v>0.26216323270739234</v>
      </c>
      <c r="AJ21">
        <v>18</v>
      </c>
      <c r="AK21">
        <v>328.03881799999999</v>
      </c>
      <c r="AL21">
        <v>520.25</v>
      </c>
      <c r="AM21" s="6">
        <f t="shared" si="7"/>
        <v>0.36945926381547334</v>
      </c>
      <c r="AO21">
        <v>18</v>
      </c>
      <c r="AP21">
        <v>286.24288899999999</v>
      </c>
      <c r="AQ21">
        <v>521.29</v>
      </c>
      <c r="AR21" s="6">
        <f t="shared" si="8"/>
        <v>0.45089510828905216</v>
      </c>
      <c r="AT21">
        <v>18</v>
      </c>
      <c r="AU21">
        <v>296.34182700000002</v>
      </c>
      <c r="AV21">
        <v>534.29</v>
      </c>
      <c r="AW21" s="6">
        <f t="shared" si="9"/>
        <v>0.4453539706900746</v>
      </c>
      <c r="AY21">
        <v>18</v>
      </c>
      <c r="AZ21">
        <v>309.82745399999999</v>
      </c>
      <c r="BA21">
        <v>425.41</v>
      </c>
      <c r="BB21" s="6">
        <f t="shared" si="10"/>
        <v>0.27169682424014485</v>
      </c>
      <c r="BD21">
        <v>18</v>
      </c>
      <c r="BE21">
        <v>318.87701399999997</v>
      </c>
      <c r="BF21">
        <v>449.74</v>
      </c>
      <c r="BG21" s="6">
        <f t="shared" si="11"/>
        <v>0.29097475430248593</v>
      </c>
    </row>
    <row r="22" spans="1:59" x14ac:dyDescent="0.25">
      <c r="A22" s="8">
        <v>19</v>
      </c>
      <c r="B22" s="8">
        <v>373.29861499999998</v>
      </c>
      <c r="C22" s="9">
        <v>504.04</v>
      </c>
      <c r="D22" s="6">
        <f t="shared" si="0"/>
        <v>0.25938692365685267</v>
      </c>
      <c r="F22" s="5">
        <v>19</v>
      </c>
      <c r="G22" s="5">
        <v>360.143799</v>
      </c>
      <c r="H22" s="5">
        <v>383.84</v>
      </c>
      <c r="I22" s="6">
        <f t="shared" si="1"/>
        <v>6.1734579512296724E-2</v>
      </c>
      <c r="J22" s="5"/>
      <c r="K22">
        <v>19</v>
      </c>
      <c r="L22">
        <v>351.16201799999999</v>
      </c>
      <c r="M22">
        <v>371.02</v>
      </c>
      <c r="N22" s="6">
        <f t="shared" si="2"/>
        <v>5.3522672632203096E-2</v>
      </c>
      <c r="P22">
        <v>19</v>
      </c>
      <c r="Q22">
        <v>360.80044600000002</v>
      </c>
      <c r="R22">
        <v>377.14</v>
      </c>
      <c r="S22" s="6">
        <f t="shared" si="3"/>
        <v>4.3324903218963685E-2</v>
      </c>
      <c r="U22">
        <v>19</v>
      </c>
      <c r="V22">
        <v>349.54315200000002</v>
      </c>
      <c r="W22">
        <v>378.63</v>
      </c>
      <c r="X22" s="6">
        <f t="shared" si="4"/>
        <v>7.6821297836938376E-2</v>
      </c>
      <c r="Z22">
        <v>19</v>
      </c>
      <c r="AA22">
        <v>355.74282799999997</v>
      </c>
      <c r="AB22">
        <v>483.43</v>
      </c>
      <c r="AC22" s="6">
        <f t="shared" si="5"/>
        <v>0.26412753035599784</v>
      </c>
      <c r="AE22">
        <v>19</v>
      </c>
      <c r="AF22">
        <v>356.45318600000002</v>
      </c>
      <c r="AG22">
        <v>511.54</v>
      </c>
      <c r="AH22" s="6">
        <f t="shared" si="6"/>
        <v>0.30317631856746297</v>
      </c>
      <c r="AJ22">
        <v>19</v>
      </c>
      <c r="AK22">
        <v>360.576752</v>
      </c>
      <c r="AL22">
        <v>524.27</v>
      </c>
      <c r="AM22" s="6">
        <f t="shared" si="7"/>
        <v>0.31223081236767314</v>
      </c>
      <c r="AO22">
        <v>19</v>
      </c>
      <c r="AP22">
        <v>330.40206899999998</v>
      </c>
      <c r="AQ22">
        <v>500.72</v>
      </c>
      <c r="AR22" s="6">
        <f t="shared" si="8"/>
        <v>0.34014605168557283</v>
      </c>
      <c r="AT22">
        <v>19</v>
      </c>
      <c r="AU22">
        <v>346.05319200000002</v>
      </c>
      <c r="AV22">
        <v>501.52</v>
      </c>
      <c r="AW22" s="6">
        <f t="shared" si="9"/>
        <v>0.30999124262242772</v>
      </c>
      <c r="AY22">
        <v>19</v>
      </c>
      <c r="AZ22">
        <v>359.703979</v>
      </c>
      <c r="BA22">
        <v>427.24</v>
      </c>
      <c r="BB22" s="6">
        <f t="shared" si="10"/>
        <v>0.15807513575507912</v>
      </c>
      <c r="BD22">
        <v>19</v>
      </c>
      <c r="BE22">
        <v>349.126465</v>
      </c>
      <c r="BF22">
        <v>391.14</v>
      </c>
      <c r="BG22" s="6">
        <f t="shared" si="11"/>
        <v>0.10741303625300402</v>
      </c>
    </row>
    <row r="23" spans="1:59" x14ac:dyDescent="0.25">
      <c r="A23" s="8">
        <v>20</v>
      </c>
      <c r="B23" s="8">
        <v>376.57275399999997</v>
      </c>
      <c r="C23" s="9">
        <v>554.16</v>
      </c>
      <c r="D23" s="6">
        <f t="shared" si="0"/>
        <v>0.32046204345315432</v>
      </c>
      <c r="F23" s="5">
        <v>20</v>
      </c>
      <c r="G23" s="5">
        <v>359.96478300000001</v>
      </c>
      <c r="H23" s="5">
        <v>521.74</v>
      </c>
      <c r="I23" s="6">
        <f t="shared" si="1"/>
        <v>0.31006864913558474</v>
      </c>
      <c r="J23" s="5"/>
      <c r="K23">
        <v>20</v>
      </c>
      <c r="L23">
        <v>354.760651</v>
      </c>
      <c r="M23">
        <v>407.44</v>
      </c>
      <c r="N23" s="6">
        <f t="shared" si="2"/>
        <v>0.12929351315531121</v>
      </c>
      <c r="P23">
        <v>20</v>
      </c>
      <c r="Q23">
        <v>376.857483</v>
      </c>
      <c r="R23">
        <v>350.25</v>
      </c>
      <c r="S23" s="6">
        <f t="shared" si="3"/>
        <v>7.5967117773019274E-2</v>
      </c>
      <c r="U23">
        <v>20</v>
      </c>
      <c r="V23">
        <v>359.49917599999998</v>
      </c>
      <c r="W23">
        <v>379.92</v>
      </c>
      <c r="X23" s="6">
        <f t="shared" si="4"/>
        <v>5.3750326384502098E-2</v>
      </c>
      <c r="Z23">
        <v>20</v>
      </c>
      <c r="AA23">
        <v>369.04510499999998</v>
      </c>
      <c r="AB23">
        <v>427.85</v>
      </c>
      <c r="AC23" s="6">
        <f t="shared" si="5"/>
        <v>0.13744278368587132</v>
      </c>
      <c r="AE23">
        <v>20</v>
      </c>
      <c r="AF23">
        <v>380.16021699999999</v>
      </c>
      <c r="AG23">
        <v>359.57</v>
      </c>
      <c r="AH23" s="6">
        <f t="shared" si="6"/>
        <v>5.7263445226242445E-2</v>
      </c>
      <c r="AJ23">
        <v>20</v>
      </c>
      <c r="AK23">
        <v>364.34774800000002</v>
      </c>
      <c r="AL23">
        <v>394.18</v>
      </c>
      <c r="AM23" s="6">
        <f t="shared" si="7"/>
        <v>7.5681800192805265E-2</v>
      </c>
      <c r="AO23">
        <v>20</v>
      </c>
      <c r="AP23">
        <v>352.46902499999999</v>
      </c>
      <c r="AQ23">
        <v>515.29</v>
      </c>
      <c r="AR23" s="6">
        <f t="shared" si="8"/>
        <v>0.31597930291680409</v>
      </c>
      <c r="AT23">
        <v>20</v>
      </c>
      <c r="AU23">
        <v>356.86047400000001</v>
      </c>
      <c r="AV23">
        <v>463.75</v>
      </c>
      <c r="AW23" s="6">
        <f t="shared" si="9"/>
        <v>0.23048954393530996</v>
      </c>
      <c r="AY23">
        <v>20</v>
      </c>
      <c r="AZ23">
        <v>367.46283</v>
      </c>
      <c r="BA23">
        <v>480.62</v>
      </c>
      <c r="BB23" s="6">
        <f t="shared" si="10"/>
        <v>0.23543999417419167</v>
      </c>
      <c r="BD23">
        <v>20</v>
      </c>
      <c r="BE23">
        <v>357.97219799999999</v>
      </c>
      <c r="BF23">
        <v>437.65</v>
      </c>
      <c r="BG23" s="6">
        <f t="shared" si="11"/>
        <v>0.18205827030732319</v>
      </c>
    </row>
    <row r="24" spans="1:59" x14ac:dyDescent="0.25">
      <c r="A24" s="8">
        <v>21</v>
      </c>
      <c r="B24" s="8">
        <v>413.234802</v>
      </c>
      <c r="C24" s="9">
        <v>348.65</v>
      </c>
      <c r="D24" s="6">
        <f t="shared" si="0"/>
        <v>0.18524251254840104</v>
      </c>
      <c r="F24" s="5">
        <v>21</v>
      </c>
      <c r="G24" s="5">
        <v>390.00595099999998</v>
      </c>
      <c r="H24" s="5">
        <v>347.32</v>
      </c>
      <c r="I24" s="6">
        <f t="shared" si="1"/>
        <v>0.12290092997811813</v>
      </c>
      <c r="J24" s="5"/>
      <c r="K24">
        <v>21</v>
      </c>
      <c r="L24">
        <v>385.99151599999999</v>
      </c>
      <c r="M24">
        <v>352.34</v>
      </c>
      <c r="N24" s="6">
        <f t="shared" si="2"/>
        <v>9.5508645058750119E-2</v>
      </c>
      <c r="P24">
        <v>21</v>
      </c>
      <c r="Q24">
        <v>406.56863399999997</v>
      </c>
      <c r="R24">
        <v>352.99</v>
      </c>
      <c r="S24" s="6">
        <f t="shared" si="3"/>
        <v>0.15178513272330652</v>
      </c>
      <c r="U24">
        <v>21</v>
      </c>
      <c r="V24">
        <v>374.85037199999999</v>
      </c>
      <c r="W24">
        <v>374.55</v>
      </c>
      <c r="X24" s="6">
        <f t="shared" si="4"/>
        <v>8.0195434521420814E-4</v>
      </c>
      <c r="Z24">
        <v>21</v>
      </c>
      <c r="AA24">
        <v>385.31854199999998</v>
      </c>
      <c r="AB24">
        <v>389.54</v>
      </c>
      <c r="AC24" s="6">
        <f t="shared" si="5"/>
        <v>1.0837033424038715E-2</v>
      </c>
      <c r="AE24">
        <v>21</v>
      </c>
      <c r="AF24">
        <v>419.19412199999999</v>
      </c>
      <c r="AG24">
        <v>415.61</v>
      </c>
      <c r="AH24" s="6">
        <f t="shared" si="6"/>
        <v>8.623762662111064E-3</v>
      </c>
      <c r="AJ24">
        <v>21</v>
      </c>
      <c r="AK24">
        <v>395.74877900000001</v>
      </c>
      <c r="AL24">
        <v>406.64</v>
      </c>
      <c r="AM24" s="6">
        <f t="shared" si="7"/>
        <v>2.6783447275231097E-2</v>
      </c>
      <c r="AO24">
        <v>21</v>
      </c>
      <c r="AP24">
        <v>381.64413500000001</v>
      </c>
      <c r="AQ24">
        <v>506.82</v>
      </c>
      <c r="AR24" s="6">
        <f t="shared" si="8"/>
        <v>0.24698288346947633</v>
      </c>
      <c r="AT24">
        <v>21</v>
      </c>
      <c r="AU24">
        <v>379.96252399999997</v>
      </c>
      <c r="AV24">
        <v>352.59</v>
      </c>
      <c r="AW24" s="6">
        <f t="shared" si="9"/>
        <v>7.7632729232252756E-2</v>
      </c>
      <c r="AY24">
        <v>21</v>
      </c>
      <c r="AZ24">
        <v>384.74160799999999</v>
      </c>
      <c r="BA24">
        <v>349.8</v>
      </c>
      <c r="BB24" s="6">
        <f t="shared" si="10"/>
        <v>9.9890245854774073E-2</v>
      </c>
      <c r="BD24">
        <v>21</v>
      </c>
      <c r="BE24">
        <v>359.35409499999997</v>
      </c>
      <c r="BF24">
        <v>377.43</v>
      </c>
      <c r="BG24" s="6">
        <f t="shared" si="11"/>
        <v>4.7892072702223017E-2</v>
      </c>
    </row>
    <row r="25" spans="1:59" x14ac:dyDescent="0.25">
      <c r="A25" s="8">
        <v>22</v>
      </c>
      <c r="B25" s="8">
        <v>365.14398199999999</v>
      </c>
      <c r="C25" s="9">
        <v>631.52</v>
      </c>
      <c r="D25" s="6">
        <f t="shared" si="0"/>
        <v>0.42180139663035215</v>
      </c>
      <c r="F25" s="5">
        <v>22</v>
      </c>
      <c r="G25" s="5">
        <v>350.15167200000002</v>
      </c>
      <c r="H25" s="5">
        <v>397.75</v>
      </c>
      <c r="I25" s="6">
        <f t="shared" si="1"/>
        <v>0.11966895788812063</v>
      </c>
      <c r="J25" s="5"/>
      <c r="K25">
        <v>22</v>
      </c>
      <c r="L25">
        <v>348.34603900000002</v>
      </c>
      <c r="M25">
        <v>561.24</v>
      </c>
      <c r="N25" s="6">
        <f t="shared" si="2"/>
        <v>0.37932784726676644</v>
      </c>
      <c r="P25">
        <v>22</v>
      </c>
      <c r="Q25">
        <v>374.02615400000002</v>
      </c>
      <c r="R25">
        <v>397.46</v>
      </c>
      <c r="S25" s="6">
        <f t="shared" si="3"/>
        <v>5.8959004679716098E-2</v>
      </c>
      <c r="U25">
        <v>22</v>
      </c>
      <c r="V25">
        <v>337.38363600000002</v>
      </c>
      <c r="W25">
        <v>360.68</v>
      </c>
      <c r="X25" s="6">
        <f t="shared" si="4"/>
        <v>6.4590118664744317E-2</v>
      </c>
      <c r="Z25">
        <v>22</v>
      </c>
      <c r="AA25">
        <v>350.70529199999999</v>
      </c>
      <c r="AB25">
        <v>395.68</v>
      </c>
      <c r="AC25" s="6">
        <f t="shared" si="5"/>
        <v>0.11366434492519213</v>
      </c>
      <c r="AE25">
        <v>22</v>
      </c>
      <c r="AF25">
        <v>392.29437300000001</v>
      </c>
      <c r="AG25">
        <v>395.06</v>
      </c>
      <c r="AH25" s="6">
        <f t="shared" si="6"/>
        <v>7.0005239710423609E-3</v>
      </c>
      <c r="AJ25">
        <v>22</v>
      </c>
      <c r="AK25">
        <v>344.02786300000002</v>
      </c>
      <c r="AL25">
        <v>473.64</v>
      </c>
      <c r="AM25" s="6">
        <f t="shared" si="7"/>
        <v>0.2736511633307997</v>
      </c>
      <c r="AO25">
        <v>22</v>
      </c>
      <c r="AP25">
        <v>364.66726699999998</v>
      </c>
      <c r="AQ25">
        <v>423.61</v>
      </c>
      <c r="AR25" s="6">
        <f t="shared" si="8"/>
        <v>0.13914386581997598</v>
      </c>
      <c r="AT25">
        <v>22</v>
      </c>
      <c r="AU25">
        <v>365.524719</v>
      </c>
      <c r="AV25">
        <v>349.13</v>
      </c>
      <c r="AW25" s="6">
        <f t="shared" si="9"/>
        <v>4.6958780396986824E-2</v>
      </c>
      <c r="AY25">
        <v>22</v>
      </c>
      <c r="AZ25">
        <v>349.64395100000002</v>
      </c>
      <c r="BA25">
        <v>355.23</v>
      </c>
      <c r="BB25" s="6">
        <f t="shared" si="10"/>
        <v>1.5725161163190053E-2</v>
      </c>
      <c r="BD25">
        <v>22</v>
      </c>
      <c r="BE25">
        <v>327.36135899999999</v>
      </c>
      <c r="BF25">
        <v>373.76</v>
      </c>
      <c r="BG25" s="6">
        <f t="shared" si="11"/>
        <v>0.12414019959332191</v>
      </c>
    </row>
    <row r="26" spans="1:59" x14ac:dyDescent="0.25">
      <c r="A26" s="8">
        <v>23</v>
      </c>
      <c r="B26" s="8">
        <v>307.67984000000001</v>
      </c>
      <c r="C26" s="9">
        <v>361.71</v>
      </c>
      <c r="D26" s="6">
        <f t="shared" si="0"/>
        <v>0.14937425008985089</v>
      </c>
      <c r="F26" s="5">
        <v>23</v>
      </c>
      <c r="G26" s="5">
        <v>301.69372600000003</v>
      </c>
      <c r="H26" s="5">
        <v>357.93</v>
      </c>
      <c r="I26" s="6">
        <f t="shared" si="1"/>
        <v>0.15711528511161393</v>
      </c>
      <c r="J26" s="5"/>
      <c r="K26">
        <v>23</v>
      </c>
      <c r="L26">
        <v>288.982147</v>
      </c>
      <c r="M26">
        <v>351.26</v>
      </c>
      <c r="N26" s="6">
        <f t="shared" si="2"/>
        <v>0.17729844844274895</v>
      </c>
      <c r="P26">
        <v>23</v>
      </c>
      <c r="Q26">
        <v>277.716522</v>
      </c>
      <c r="R26">
        <v>342.39</v>
      </c>
      <c r="S26" s="6">
        <f t="shared" si="3"/>
        <v>0.18888833786033468</v>
      </c>
      <c r="U26">
        <v>23</v>
      </c>
      <c r="V26">
        <v>269.00451700000002</v>
      </c>
      <c r="W26">
        <v>342.31</v>
      </c>
      <c r="X26" s="6">
        <f t="shared" si="4"/>
        <v>0.21414940550962572</v>
      </c>
      <c r="Z26">
        <v>23</v>
      </c>
      <c r="AA26">
        <v>264.51968399999998</v>
      </c>
      <c r="AB26">
        <v>341.34</v>
      </c>
      <c r="AC26" s="6">
        <f t="shared" si="5"/>
        <v>0.22505512392336086</v>
      </c>
      <c r="AE26">
        <v>23</v>
      </c>
      <c r="AF26">
        <v>299.66894500000001</v>
      </c>
      <c r="AG26">
        <v>341.71</v>
      </c>
      <c r="AH26" s="6">
        <f t="shared" si="6"/>
        <v>0.12303138626320556</v>
      </c>
      <c r="AJ26">
        <v>23</v>
      </c>
      <c r="AK26">
        <v>231.571808</v>
      </c>
      <c r="AL26">
        <v>330.33</v>
      </c>
      <c r="AM26" s="6">
        <f t="shared" si="7"/>
        <v>0.29896828020464378</v>
      </c>
      <c r="AO26">
        <v>23</v>
      </c>
      <c r="AP26">
        <v>272.14154100000002</v>
      </c>
      <c r="AQ26">
        <v>323.85000000000002</v>
      </c>
      <c r="AR26" s="6">
        <f t="shared" si="8"/>
        <v>0.15966792959703566</v>
      </c>
      <c r="AT26">
        <v>23</v>
      </c>
      <c r="AU26">
        <v>262.57174700000002</v>
      </c>
      <c r="AV26">
        <v>309.95999999999998</v>
      </c>
      <c r="AW26" s="6">
        <f t="shared" si="9"/>
        <v>0.15288505936249827</v>
      </c>
      <c r="AY26">
        <v>23</v>
      </c>
      <c r="AZ26">
        <v>240.71031199999999</v>
      </c>
      <c r="BA26">
        <v>309.25</v>
      </c>
      <c r="BB26" s="6">
        <f t="shared" si="10"/>
        <v>0.22163197413096206</v>
      </c>
      <c r="BD26">
        <v>23</v>
      </c>
      <c r="BE26">
        <v>246.39007599999999</v>
      </c>
      <c r="BF26">
        <v>308.19</v>
      </c>
      <c r="BG26" s="6">
        <f t="shared" si="11"/>
        <v>0.20052540316038808</v>
      </c>
    </row>
    <row r="27" spans="1:59" x14ac:dyDescent="0.25">
      <c r="A27" s="8">
        <v>24</v>
      </c>
      <c r="B27" s="8">
        <v>269.342285</v>
      </c>
      <c r="C27" s="9">
        <v>325.97000000000003</v>
      </c>
      <c r="D27" s="6">
        <f t="shared" si="0"/>
        <v>0.17372063380065655</v>
      </c>
      <c r="F27" s="5">
        <v>24</v>
      </c>
      <c r="G27" s="5">
        <v>291.368652</v>
      </c>
      <c r="H27" s="5">
        <v>318.73</v>
      </c>
      <c r="I27" s="6">
        <f t="shared" si="1"/>
        <v>8.5844909484516729E-2</v>
      </c>
      <c r="J27" s="5"/>
      <c r="K27">
        <v>24</v>
      </c>
      <c r="L27">
        <v>278.268372</v>
      </c>
      <c r="M27">
        <v>315.26</v>
      </c>
      <c r="N27" s="6">
        <f t="shared" si="2"/>
        <v>0.1173368901858783</v>
      </c>
      <c r="P27">
        <v>24</v>
      </c>
      <c r="Q27">
        <v>257.40057400000001</v>
      </c>
      <c r="R27">
        <v>318.76</v>
      </c>
      <c r="S27" s="6">
        <f t="shared" si="3"/>
        <v>0.19249412096875387</v>
      </c>
      <c r="U27">
        <v>24</v>
      </c>
      <c r="V27">
        <v>272.97952299999997</v>
      </c>
      <c r="W27">
        <v>319.02</v>
      </c>
      <c r="X27" s="6">
        <f t="shared" si="4"/>
        <v>0.14431846592690117</v>
      </c>
      <c r="Z27">
        <v>24</v>
      </c>
      <c r="AA27">
        <v>278.713257</v>
      </c>
      <c r="AB27">
        <v>324.26</v>
      </c>
      <c r="AC27" s="6">
        <f t="shared" si="5"/>
        <v>0.14046364954049217</v>
      </c>
      <c r="AE27">
        <v>24</v>
      </c>
      <c r="AF27">
        <v>267.720123</v>
      </c>
      <c r="AG27">
        <v>342.48</v>
      </c>
      <c r="AH27" s="6">
        <f t="shared" si="6"/>
        <v>0.21828975998598463</v>
      </c>
      <c r="AJ27">
        <v>24</v>
      </c>
      <c r="AK27">
        <v>295.854828</v>
      </c>
      <c r="AL27">
        <v>363.08</v>
      </c>
      <c r="AM27" s="6">
        <f t="shared" si="7"/>
        <v>0.18515250633469205</v>
      </c>
      <c r="AO27">
        <v>24</v>
      </c>
      <c r="AP27">
        <v>240.36352500000001</v>
      </c>
      <c r="AQ27">
        <v>355.84</v>
      </c>
      <c r="AR27" s="6">
        <f t="shared" si="8"/>
        <v>0.32451797156025175</v>
      </c>
      <c r="AT27">
        <v>24</v>
      </c>
      <c r="AU27">
        <v>262.03146400000003</v>
      </c>
      <c r="AV27">
        <v>342.41</v>
      </c>
      <c r="AW27" s="6">
        <f t="shared" si="9"/>
        <v>0.23474354136853476</v>
      </c>
      <c r="AY27">
        <v>24</v>
      </c>
      <c r="AZ27">
        <v>293.14498900000001</v>
      </c>
      <c r="BA27">
        <v>337.47</v>
      </c>
      <c r="BB27" s="6">
        <f t="shared" si="10"/>
        <v>0.13134504104068515</v>
      </c>
      <c r="BD27">
        <v>24</v>
      </c>
      <c r="BE27">
        <v>317.382721</v>
      </c>
      <c r="BF27">
        <v>327.72</v>
      </c>
      <c r="BG27" s="6">
        <f t="shared" si="11"/>
        <v>3.1543021481752788E-2</v>
      </c>
    </row>
    <row r="28" spans="1:59" x14ac:dyDescent="0.25">
      <c r="A28" s="8">
        <v>25</v>
      </c>
      <c r="B28" s="8">
        <v>346.38265999999999</v>
      </c>
      <c r="C28" s="9">
        <v>533.19000000000005</v>
      </c>
      <c r="D28" s="6">
        <f t="shared" si="0"/>
        <v>0.35035792119132025</v>
      </c>
      <c r="F28" s="5">
        <v>25</v>
      </c>
      <c r="G28" s="5">
        <v>342.89562999999998</v>
      </c>
      <c r="H28" s="5">
        <v>396.59</v>
      </c>
      <c r="I28" s="6">
        <f t="shared" si="1"/>
        <v>0.13539012582263799</v>
      </c>
      <c r="J28" s="5"/>
      <c r="K28">
        <v>25</v>
      </c>
      <c r="L28">
        <v>328.42202800000001</v>
      </c>
      <c r="M28">
        <v>389.53</v>
      </c>
      <c r="N28" s="6">
        <f t="shared" si="2"/>
        <v>0.15687616358175227</v>
      </c>
      <c r="P28">
        <v>25</v>
      </c>
      <c r="Q28">
        <v>341.65731799999998</v>
      </c>
      <c r="R28">
        <v>376.19</v>
      </c>
      <c r="S28" s="6">
        <f t="shared" si="3"/>
        <v>9.1795853159307855E-2</v>
      </c>
      <c r="U28">
        <v>25</v>
      </c>
      <c r="V28">
        <v>334.93478399999998</v>
      </c>
      <c r="W28">
        <v>375.43</v>
      </c>
      <c r="X28" s="6">
        <f t="shared" si="4"/>
        <v>0.10786355911887709</v>
      </c>
      <c r="Z28">
        <v>25</v>
      </c>
      <c r="AA28">
        <v>343.906586</v>
      </c>
      <c r="AB28">
        <v>399.13</v>
      </c>
      <c r="AC28" s="6">
        <f t="shared" si="5"/>
        <v>0.13835946684037781</v>
      </c>
      <c r="AE28">
        <v>25</v>
      </c>
      <c r="AF28">
        <v>329.10012799999998</v>
      </c>
      <c r="AG28">
        <v>487.15</v>
      </c>
      <c r="AH28" s="6">
        <f t="shared" si="6"/>
        <v>0.32443779534024431</v>
      </c>
      <c r="AJ28">
        <v>25</v>
      </c>
      <c r="AK28">
        <v>345.141144</v>
      </c>
      <c r="AL28">
        <v>415.3</v>
      </c>
      <c r="AM28" s="6">
        <f t="shared" si="7"/>
        <v>0.16893536238863474</v>
      </c>
      <c r="AO28">
        <v>25</v>
      </c>
      <c r="AP28">
        <v>301.48608400000001</v>
      </c>
      <c r="AQ28">
        <v>355.6</v>
      </c>
      <c r="AR28" s="6">
        <f t="shared" si="8"/>
        <v>0.15217636670416201</v>
      </c>
      <c r="AT28">
        <v>25</v>
      </c>
      <c r="AU28">
        <v>315.22640999999999</v>
      </c>
      <c r="AV28">
        <v>360.11</v>
      </c>
      <c r="AW28" s="6">
        <f t="shared" si="9"/>
        <v>0.12463855488600713</v>
      </c>
      <c r="AY28">
        <v>25</v>
      </c>
      <c r="AZ28">
        <v>319.11831699999999</v>
      </c>
      <c r="BA28">
        <v>366.41</v>
      </c>
      <c r="BB28" s="6">
        <f t="shared" si="10"/>
        <v>0.12906766463797395</v>
      </c>
      <c r="BD28">
        <v>25</v>
      </c>
      <c r="BE28">
        <v>317.065155</v>
      </c>
      <c r="BF28">
        <v>376.46</v>
      </c>
      <c r="BG28" s="6">
        <f t="shared" si="11"/>
        <v>0.15777199436859157</v>
      </c>
    </row>
    <row r="29" spans="1:59" x14ac:dyDescent="0.25">
      <c r="A29" s="8">
        <v>26</v>
      </c>
      <c r="B29" s="8">
        <v>397.20443699999998</v>
      </c>
      <c r="C29" s="9">
        <v>495.9</v>
      </c>
      <c r="D29" s="6">
        <f t="shared" si="0"/>
        <v>0.19902311554748942</v>
      </c>
      <c r="F29" s="5">
        <v>26</v>
      </c>
      <c r="G29" s="5">
        <v>378.16482500000001</v>
      </c>
      <c r="H29" s="5">
        <v>459.8</v>
      </c>
      <c r="I29" s="6">
        <f t="shared" si="1"/>
        <v>0.17754496520226185</v>
      </c>
      <c r="J29" s="5"/>
      <c r="K29">
        <v>26</v>
      </c>
      <c r="L29">
        <v>374.64965799999999</v>
      </c>
      <c r="M29">
        <v>464.08</v>
      </c>
      <c r="N29" s="6">
        <f t="shared" si="2"/>
        <v>0.19270458110670574</v>
      </c>
      <c r="P29">
        <v>26</v>
      </c>
      <c r="Q29">
        <v>393.81445300000001</v>
      </c>
      <c r="R29">
        <v>455.19</v>
      </c>
      <c r="S29" s="6">
        <f t="shared" si="3"/>
        <v>0.13483500735956411</v>
      </c>
      <c r="U29">
        <v>26</v>
      </c>
      <c r="V29">
        <v>369.64724699999999</v>
      </c>
      <c r="W29">
        <v>567.92999999999995</v>
      </c>
      <c r="X29" s="6">
        <f t="shared" si="4"/>
        <v>0.34913238075114889</v>
      </c>
      <c r="Z29">
        <v>26</v>
      </c>
      <c r="AA29">
        <v>382.103363</v>
      </c>
      <c r="AB29">
        <v>574.4</v>
      </c>
      <c r="AC29" s="6">
        <f t="shared" si="5"/>
        <v>0.33477826775766012</v>
      </c>
      <c r="AE29">
        <v>26</v>
      </c>
      <c r="AF29">
        <v>382.318512</v>
      </c>
      <c r="AG29">
        <v>577.23</v>
      </c>
      <c r="AH29" s="6">
        <f t="shared" si="6"/>
        <v>0.33766694038771378</v>
      </c>
      <c r="AJ29">
        <v>26</v>
      </c>
      <c r="AK29">
        <v>382.42697099999998</v>
      </c>
      <c r="AL29">
        <v>541.29</v>
      </c>
      <c r="AM29" s="6">
        <f t="shared" si="7"/>
        <v>0.29348968020839106</v>
      </c>
      <c r="AO29">
        <v>26</v>
      </c>
      <c r="AP29">
        <v>352.10406499999999</v>
      </c>
      <c r="AQ29">
        <v>362.31</v>
      </c>
      <c r="AR29" s="6">
        <f t="shared" si="8"/>
        <v>2.8169067925257404E-2</v>
      </c>
      <c r="AT29">
        <v>26</v>
      </c>
      <c r="AU29">
        <v>361.538208</v>
      </c>
      <c r="AV29">
        <v>367.92</v>
      </c>
      <c r="AW29" s="6">
        <f t="shared" si="9"/>
        <v>1.7345596868884591E-2</v>
      </c>
      <c r="AY29">
        <v>26</v>
      </c>
      <c r="AZ29">
        <v>374.43444799999997</v>
      </c>
      <c r="BA29">
        <v>374.8</v>
      </c>
      <c r="BB29" s="6">
        <f t="shared" si="10"/>
        <v>9.7532550693713049E-4</v>
      </c>
      <c r="BD29">
        <v>26</v>
      </c>
      <c r="BE29">
        <v>356.59686299999998</v>
      </c>
      <c r="BF29">
        <v>375.13</v>
      </c>
      <c r="BG29" s="6">
        <f t="shared" si="11"/>
        <v>4.9404571748460566E-2</v>
      </c>
    </row>
    <row r="30" spans="1:59" x14ac:dyDescent="0.25">
      <c r="A30" s="8">
        <v>27</v>
      </c>
      <c r="B30" s="8">
        <v>419.91012599999999</v>
      </c>
      <c r="C30" s="9">
        <v>423.49</v>
      </c>
      <c r="D30" s="6">
        <f t="shared" si="0"/>
        <v>8.4532669012255725E-3</v>
      </c>
      <c r="F30" s="5">
        <v>27</v>
      </c>
      <c r="G30" s="5">
        <v>388.31991599999998</v>
      </c>
      <c r="H30" s="5">
        <v>420.62</v>
      </c>
      <c r="I30" s="6">
        <f t="shared" si="1"/>
        <v>7.6791602871950998E-2</v>
      </c>
      <c r="J30" s="5"/>
      <c r="K30">
        <v>27</v>
      </c>
      <c r="L30">
        <v>383.419556</v>
      </c>
      <c r="M30">
        <v>397.54</v>
      </c>
      <c r="N30" s="6">
        <f t="shared" si="2"/>
        <v>3.5519555264879057E-2</v>
      </c>
      <c r="P30">
        <v>27</v>
      </c>
      <c r="Q30">
        <v>401.08795199999997</v>
      </c>
      <c r="R30">
        <v>402.05</v>
      </c>
      <c r="S30" s="6">
        <f t="shared" si="3"/>
        <v>2.3928566098744891E-3</v>
      </c>
      <c r="U30">
        <v>27</v>
      </c>
      <c r="V30">
        <v>378.82806399999998</v>
      </c>
      <c r="W30">
        <v>387.15</v>
      </c>
      <c r="X30" s="6">
        <f t="shared" si="4"/>
        <v>2.1495379052046994E-2</v>
      </c>
      <c r="Z30">
        <v>27</v>
      </c>
      <c r="AA30">
        <v>394.01162699999998</v>
      </c>
      <c r="AB30">
        <v>411.35</v>
      </c>
      <c r="AC30" s="6">
        <f t="shared" si="5"/>
        <v>4.2149928284915636E-2</v>
      </c>
      <c r="AE30">
        <v>27</v>
      </c>
      <c r="AF30">
        <v>408.91940299999999</v>
      </c>
      <c r="AG30">
        <v>409.04</v>
      </c>
      <c r="AH30" s="6">
        <f t="shared" si="6"/>
        <v>2.9482935654222579E-4</v>
      </c>
      <c r="AJ30">
        <v>27</v>
      </c>
      <c r="AK30">
        <v>388.10580399999998</v>
      </c>
      <c r="AL30">
        <v>372.87</v>
      </c>
      <c r="AM30" s="6">
        <f t="shared" si="7"/>
        <v>4.0860900581972198E-2</v>
      </c>
      <c r="AO30">
        <v>27</v>
      </c>
      <c r="AP30">
        <v>368.91027800000001</v>
      </c>
      <c r="AQ30">
        <v>355.44</v>
      </c>
      <c r="AR30" s="6">
        <f t="shared" si="8"/>
        <v>3.7897473553905041E-2</v>
      </c>
      <c r="AT30">
        <v>27</v>
      </c>
      <c r="AU30">
        <v>362.03573599999999</v>
      </c>
      <c r="AV30">
        <v>357.49</v>
      </c>
      <c r="AW30" s="6">
        <f t="shared" si="9"/>
        <v>1.2715701138493319E-2</v>
      </c>
      <c r="AY30">
        <v>27</v>
      </c>
      <c r="AZ30">
        <v>369.13824499999998</v>
      </c>
      <c r="BA30">
        <v>361.61</v>
      </c>
      <c r="BB30" s="6">
        <f t="shared" si="10"/>
        <v>2.0818685877049777E-2</v>
      </c>
      <c r="BD30">
        <v>27</v>
      </c>
      <c r="BE30">
        <v>360.65475500000002</v>
      </c>
      <c r="BF30">
        <v>362.27</v>
      </c>
      <c r="BG30" s="6">
        <f t="shared" si="11"/>
        <v>4.4586772296904493E-3</v>
      </c>
    </row>
    <row r="31" spans="1:59" x14ac:dyDescent="0.25">
      <c r="A31" s="8">
        <v>28</v>
      </c>
      <c r="B31" s="8">
        <v>485.68279999999999</v>
      </c>
      <c r="C31" s="9">
        <v>469.91</v>
      </c>
      <c r="D31" s="6">
        <f t="shared" si="0"/>
        <v>3.3565576386967631E-2</v>
      </c>
      <c r="F31" s="5">
        <v>28</v>
      </c>
      <c r="G31" s="5">
        <v>430.79409800000002</v>
      </c>
      <c r="H31" s="5">
        <v>441.09</v>
      </c>
      <c r="I31" s="6">
        <f t="shared" si="1"/>
        <v>2.3341952889432895E-2</v>
      </c>
      <c r="J31" s="5"/>
      <c r="K31">
        <v>28</v>
      </c>
      <c r="L31">
        <v>431.670502</v>
      </c>
      <c r="M31">
        <v>420.78</v>
      </c>
      <c r="N31" s="6">
        <f t="shared" si="2"/>
        <v>2.5881700651171697E-2</v>
      </c>
      <c r="P31">
        <v>28</v>
      </c>
      <c r="Q31">
        <v>487.67211900000001</v>
      </c>
      <c r="R31">
        <v>434.63</v>
      </c>
      <c r="S31" s="6">
        <f t="shared" si="3"/>
        <v>0.122039709638083</v>
      </c>
      <c r="U31">
        <v>28</v>
      </c>
      <c r="V31">
        <v>445.26416</v>
      </c>
      <c r="W31">
        <v>422.01</v>
      </c>
      <c r="X31" s="6">
        <f t="shared" si="4"/>
        <v>5.5103338783441182E-2</v>
      </c>
      <c r="Z31">
        <v>28</v>
      </c>
      <c r="AA31">
        <v>471.16052200000001</v>
      </c>
      <c r="AB31">
        <v>434.22</v>
      </c>
      <c r="AC31" s="6">
        <f t="shared" si="5"/>
        <v>8.5073285431348136E-2</v>
      </c>
      <c r="AE31">
        <v>28</v>
      </c>
      <c r="AF31">
        <v>504.37515300000001</v>
      </c>
      <c r="AG31">
        <v>543.72</v>
      </c>
      <c r="AH31" s="6">
        <f t="shared" si="6"/>
        <v>7.2362331714853262E-2</v>
      </c>
      <c r="AJ31">
        <v>28</v>
      </c>
      <c r="AK31">
        <v>478.49432400000001</v>
      </c>
      <c r="AL31">
        <v>546.65</v>
      </c>
      <c r="AM31" s="6">
        <f t="shared" si="7"/>
        <v>0.12467881825665413</v>
      </c>
      <c r="AO31">
        <v>28</v>
      </c>
      <c r="AP31">
        <v>451.12890599999997</v>
      </c>
      <c r="AQ31">
        <v>402.97</v>
      </c>
      <c r="AR31" s="6">
        <f t="shared" si="8"/>
        <v>0.11950990396307402</v>
      </c>
      <c r="AT31">
        <v>28</v>
      </c>
      <c r="AU31">
        <v>427.22305299999999</v>
      </c>
      <c r="AV31">
        <v>370.32</v>
      </c>
      <c r="AW31" s="6">
        <f t="shared" si="9"/>
        <v>0.15365914074314108</v>
      </c>
      <c r="AY31">
        <v>28</v>
      </c>
      <c r="AZ31">
        <v>396.98117100000002</v>
      </c>
      <c r="BA31">
        <v>375.07</v>
      </c>
      <c r="BB31" s="6">
        <f t="shared" si="10"/>
        <v>5.8418884474898083E-2</v>
      </c>
      <c r="BD31">
        <v>28</v>
      </c>
      <c r="BE31">
        <v>371.489868</v>
      </c>
      <c r="BF31">
        <v>379.02</v>
      </c>
      <c r="BG31" s="6">
        <f t="shared" si="11"/>
        <v>1.9867373753363889E-2</v>
      </c>
    </row>
    <row r="32" spans="1:59" x14ac:dyDescent="0.25">
      <c r="D32" s="7"/>
      <c r="I32" s="7"/>
      <c r="J32" s="5"/>
      <c r="K32" s="5"/>
      <c r="L32" s="5"/>
      <c r="M32" s="6"/>
      <c r="N32" s="7"/>
    </row>
    <row r="33" spans="1:14" x14ac:dyDescent="0.25">
      <c r="A33" s="10" t="s">
        <v>19</v>
      </c>
      <c r="B33" s="10"/>
      <c r="C33" s="10"/>
      <c r="D33" s="10"/>
      <c r="F33" s="10" t="s">
        <v>20</v>
      </c>
      <c r="G33" s="10"/>
      <c r="H33" s="10"/>
      <c r="I33" s="10"/>
      <c r="K33" s="10" t="s">
        <v>20</v>
      </c>
      <c r="L33" s="10"/>
      <c r="M33" s="10"/>
      <c r="N33" s="10"/>
    </row>
    <row r="34" spans="1:14" x14ac:dyDescent="0.25">
      <c r="A34" s="10"/>
      <c r="B34" s="10"/>
      <c r="C34" s="10"/>
      <c r="D34" s="10"/>
      <c r="F34" s="10"/>
      <c r="G34" s="10"/>
      <c r="H34" s="10"/>
      <c r="I34" s="10"/>
      <c r="K34" s="10"/>
      <c r="L34" s="10"/>
      <c r="M34" s="10"/>
      <c r="N34" s="10"/>
    </row>
    <row r="35" spans="1:14" x14ac:dyDescent="0.25">
      <c r="A35">
        <v>0</v>
      </c>
      <c r="B35">
        <v>286.84359699999999</v>
      </c>
      <c r="C35">
        <v>294.48</v>
      </c>
      <c r="D35" s="6">
        <f>ABS((C35-B35)/C35)</f>
        <v>2.5931822195055791E-2</v>
      </c>
      <c r="F35">
        <v>0</v>
      </c>
      <c r="G35">
        <v>295.36505099999999</v>
      </c>
      <c r="H35">
        <v>287.87</v>
      </c>
      <c r="I35" s="6">
        <f>ABS((H35-G35)/H35)</f>
        <v>2.6036235106124257E-2</v>
      </c>
    </row>
    <row r="36" spans="1:14" x14ac:dyDescent="0.25">
      <c r="A36">
        <v>1</v>
      </c>
      <c r="B36">
        <v>262.430115</v>
      </c>
      <c r="C36">
        <v>156</v>
      </c>
      <c r="D36" s="6">
        <f t="shared" ref="D36:D63" si="12">ABS((C36-B36)/C36)</f>
        <v>0.6822443269230769</v>
      </c>
      <c r="F36">
        <v>1</v>
      </c>
      <c r="G36">
        <v>280.27075200000002</v>
      </c>
      <c r="H36">
        <v>222.92</v>
      </c>
      <c r="I36" s="6">
        <f t="shared" ref="I36:I63" si="13">ABS((H36-G36)/H36)</f>
        <v>0.25727055445899888</v>
      </c>
    </row>
    <row r="37" spans="1:14" x14ac:dyDescent="0.25">
      <c r="A37">
        <v>2</v>
      </c>
      <c r="B37">
        <v>212.48045300000001</v>
      </c>
      <c r="C37">
        <v>218.93</v>
      </c>
      <c r="D37" s="6">
        <f t="shared" si="12"/>
        <v>2.9459402548759856E-2</v>
      </c>
      <c r="F37">
        <v>2</v>
      </c>
      <c r="G37">
        <v>235.11514299999999</v>
      </c>
      <c r="H37">
        <v>219.16</v>
      </c>
      <c r="I37" s="6">
        <f t="shared" si="13"/>
        <v>7.2801346048548973E-2</v>
      </c>
    </row>
    <row r="38" spans="1:14" x14ac:dyDescent="0.25">
      <c r="A38">
        <v>3</v>
      </c>
      <c r="B38">
        <v>182.84506200000001</v>
      </c>
      <c r="C38">
        <v>379.71</v>
      </c>
      <c r="D38" s="6">
        <f t="shared" si="12"/>
        <v>0.5184612941455321</v>
      </c>
      <c r="F38">
        <v>3</v>
      </c>
      <c r="G38">
        <v>160.48533599999999</v>
      </c>
      <c r="H38">
        <v>414.93</v>
      </c>
      <c r="I38" s="6">
        <f t="shared" si="13"/>
        <v>0.61322310751211051</v>
      </c>
    </row>
    <row r="39" spans="1:14" x14ac:dyDescent="0.25">
      <c r="A39">
        <v>4</v>
      </c>
      <c r="B39">
        <v>308.60201999999998</v>
      </c>
      <c r="C39">
        <v>361.9</v>
      </c>
      <c r="D39" s="6">
        <f t="shared" si="12"/>
        <v>0.14727267200884223</v>
      </c>
      <c r="F39">
        <v>4</v>
      </c>
      <c r="G39">
        <v>310.13940400000001</v>
      </c>
      <c r="H39">
        <v>367.38</v>
      </c>
      <c r="I39" s="6">
        <f t="shared" si="13"/>
        <v>0.15580759976046596</v>
      </c>
    </row>
    <row r="40" spans="1:14" x14ac:dyDescent="0.25">
      <c r="A40">
        <v>5</v>
      </c>
      <c r="B40">
        <v>331.02441399999998</v>
      </c>
      <c r="C40">
        <v>348.58</v>
      </c>
      <c r="D40" s="6">
        <f t="shared" si="12"/>
        <v>5.0363147627517375E-2</v>
      </c>
      <c r="F40">
        <v>5</v>
      </c>
      <c r="G40">
        <v>312.23809799999998</v>
      </c>
      <c r="H40">
        <v>349.25</v>
      </c>
      <c r="I40" s="6">
        <f t="shared" si="13"/>
        <v>0.10597538153185403</v>
      </c>
    </row>
    <row r="41" spans="1:14" x14ac:dyDescent="0.25">
      <c r="A41">
        <v>6</v>
      </c>
      <c r="B41">
        <v>299.11090100000001</v>
      </c>
      <c r="C41">
        <v>298.55</v>
      </c>
      <c r="D41" s="6">
        <f t="shared" si="12"/>
        <v>1.878750628035509E-3</v>
      </c>
      <c r="F41">
        <v>6</v>
      </c>
      <c r="G41">
        <v>306.61184700000001</v>
      </c>
      <c r="H41">
        <v>298.89</v>
      </c>
      <c r="I41" s="6">
        <f t="shared" si="13"/>
        <v>2.5835079795242483E-2</v>
      </c>
    </row>
    <row r="42" spans="1:14" x14ac:dyDescent="0.25">
      <c r="A42">
        <v>7</v>
      </c>
      <c r="B42">
        <v>295.932098</v>
      </c>
      <c r="C42">
        <v>150.24</v>
      </c>
      <c r="D42" s="6">
        <f t="shared" si="12"/>
        <v>0.96972908679446201</v>
      </c>
      <c r="F42">
        <v>7</v>
      </c>
      <c r="G42">
        <v>303.511505</v>
      </c>
      <c r="H42">
        <v>230.11</v>
      </c>
      <c r="I42" s="6">
        <f t="shared" si="13"/>
        <v>0.31898442049454601</v>
      </c>
    </row>
    <row r="43" spans="1:14" x14ac:dyDescent="0.25">
      <c r="A43">
        <v>8</v>
      </c>
      <c r="B43">
        <v>280.01873799999998</v>
      </c>
      <c r="C43">
        <v>283.97000000000003</v>
      </c>
      <c r="D43" s="6">
        <f t="shared" si="12"/>
        <v>1.391436419340086E-2</v>
      </c>
      <c r="F43">
        <v>8</v>
      </c>
      <c r="G43">
        <v>286.776184</v>
      </c>
      <c r="H43">
        <v>284.11</v>
      </c>
      <c r="I43" s="6">
        <f t="shared" si="13"/>
        <v>9.3843370525500229E-3</v>
      </c>
    </row>
    <row r="44" spans="1:14" x14ac:dyDescent="0.25">
      <c r="A44">
        <v>9</v>
      </c>
      <c r="B44">
        <v>211.53431699999999</v>
      </c>
      <c r="C44">
        <v>286.79000000000002</v>
      </c>
      <c r="D44" s="6">
        <f t="shared" si="12"/>
        <v>0.26240692841451946</v>
      </c>
      <c r="F44">
        <v>9</v>
      </c>
      <c r="G44">
        <v>238.20477299999999</v>
      </c>
      <c r="H44">
        <v>287.47000000000003</v>
      </c>
      <c r="I44" s="6">
        <f t="shared" si="13"/>
        <v>0.1713751939332801</v>
      </c>
    </row>
    <row r="45" spans="1:14" x14ac:dyDescent="0.25">
      <c r="A45">
        <v>10</v>
      </c>
      <c r="B45">
        <v>254.41287199999999</v>
      </c>
      <c r="C45">
        <v>320</v>
      </c>
      <c r="D45" s="6">
        <f t="shared" si="12"/>
        <v>0.20495977500000001</v>
      </c>
      <c r="F45">
        <v>10</v>
      </c>
      <c r="G45">
        <v>237.48561100000001</v>
      </c>
      <c r="H45">
        <v>339.3</v>
      </c>
      <c r="I45" s="6">
        <f t="shared" si="13"/>
        <v>0.30007188034188037</v>
      </c>
    </row>
    <row r="46" spans="1:14" x14ac:dyDescent="0.25">
      <c r="A46">
        <v>11</v>
      </c>
      <c r="B46">
        <v>294.571167</v>
      </c>
      <c r="C46">
        <v>446.15</v>
      </c>
      <c r="D46" s="6">
        <f t="shared" si="12"/>
        <v>0.33974858903956062</v>
      </c>
      <c r="F46">
        <v>11</v>
      </c>
      <c r="G46">
        <v>288.22692899999998</v>
      </c>
      <c r="H46">
        <v>360.35</v>
      </c>
      <c r="I46" s="6">
        <f t="shared" si="13"/>
        <v>0.20014727625919254</v>
      </c>
    </row>
    <row r="47" spans="1:14" x14ac:dyDescent="0.25">
      <c r="A47">
        <v>12</v>
      </c>
      <c r="B47">
        <v>314.90673800000002</v>
      </c>
      <c r="C47">
        <v>387.67</v>
      </c>
      <c r="D47" s="6">
        <f t="shared" si="12"/>
        <v>0.18769381690613149</v>
      </c>
      <c r="F47">
        <v>12</v>
      </c>
      <c r="G47">
        <v>314.21328699999998</v>
      </c>
      <c r="H47">
        <v>384.71</v>
      </c>
      <c r="I47" s="6">
        <f t="shared" si="13"/>
        <v>0.18324637519170284</v>
      </c>
    </row>
    <row r="48" spans="1:14" x14ac:dyDescent="0.25">
      <c r="A48">
        <v>13</v>
      </c>
      <c r="B48">
        <v>343.64135700000003</v>
      </c>
      <c r="C48">
        <v>377.52</v>
      </c>
      <c r="D48" s="6">
        <f t="shared" si="12"/>
        <v>8.973999523204057E-2</v>
      </c>
      <c r="F48">
        <v>13</v>
      </c>
      <c r="G48">
        <v>348.05053700000002</v>
      </c>
      <c r="H48">
        <v>398.81</v>
      </c>
      <c r="I48" s="6">
        <f t="shared" si="13"/>
        <v>0.12727730748978205</v>
      </c>
    </row>
    <row r="49" spans="1:9" x14ac:dyDescent="0.25">
      <c r="A49">
        <v>14</v>
      </c>
      <c r="B49">
        <v>365.39117399999998</v>
      </c>
      <c r="C49">
        <v>381.72</v>
      </c>
      <c r="D49" s="6">
        <f t="shared" si="12"/>
        <v>4.2776972650110157E-2</v>
      </c>
      <c r="F49">
        <v>14</v>
      </c>
      <c r="G49">
        <v>372.32693499999999</v>
      </c>
      <c r="H49">
        <v>401.09</v>
      </c>
      <c r="I49" s="6">
        <f t="shared" si="13"/>
        <v>7.1712246627938833E-2</v>
      </c>
    </row>
    <row r="50" spans="1:9" x14ac:dyDescent="0.25">
      <c r="A50">
        <v>15</v>
      </c>
      <c r="B50">
        <v>352.03521699999999</v>
      </c>
      <c r="C50">
        <v>371.85</v>
      </c>
      <c r="D50" s="6">
        <f t="shared" si="12"/>
        <v>5.3287032405539954E-2</v>
      </c>
      <c r="F50">
        <v>15</v>
      </c>
      <c r="G50">
        <v>363.59609999999998</v>
      </c>
      <c r="H50">
        <v>382.16</v>
      </c>
      <c r="I50" s="6">
        <f t="shared" si="13"/>
        <v>4.8576250785011633E-2</v>
      </c>
    </row>
    <row r="51" spans="1:9" x14ac:dyDescent="0.25">
      <c r="A51">
        <v>16</v>
      </c>
      <c r="B51">
        <v>267.72625699999998</v>
      </c>
      <c r="C51">
        <v>303.75</v>
      </c>
      <c r="D51" s="6">
        <f t="shared" si="12"/>
        <v>0.11859668477366263</v>
      </c>
      <c r="F51">
        <v>16</v>
      </c>
      <c r="G51">
        <v>295.79974399999998</v>
      </c>
      <c r="H51">
        <v>308.92</v>
      </c>
      <c r="I51" s="6">
        <f t="shared" si="13"/>
        <v>4.2471371228797225E-2</v>
      </c>
    </row>
    <row r="52" spans="1:9" x14ac:dyDescent="0.25">
      <c r="A52">
        <v>17</v>
      </c>
      <c r="B52">
        <v>218.43826300000001</v>
      </c>
      <c r="C52">
        <v>333.16</v>
      </c>
      <c r="D52" s="6">
        <f t="shared" si="12"/>
        <v>0.34434427002041063</v>
      </c>
      <c r="F52">
        <v>17</v>
      </c>
      <c r="G52">
        <v>216.124878</v>
      </c>
      <c r="H52">
        <v>339.18</v>
      </c>
      <c r="I52" s="6">
        <f t="shared" si="13"/>
        <v>0.362801822041394</v>
      </c>
    </row>
    <row r="53" spans="1:9" x14ac:dyDescent="0.25">
      <c r="A53">
        <v>18</v>
      </c>
      <c r="B53">
        <v>294.571167</v>
      </c>
      <c r="C53">
        <v>503.64</v>
      </c>
      <c r="D53" s="6">
        <f t="shared" si="12"/>
        <v>0.41511562425542053</v>
      </c>
      <c r="F53">
        <v>18</v>
      </c>
      <c r="G53">
        <v>288.22692899999998</v>
      </c>
      <c r="H53">
        <v>481.46</v>
      </c>
      <c r="I53" s="6">
        <f t="shared" si="13"/>
        <v>0.40134813068583058</v>
      </c>
    </row>
    <row r="54" spans="1:9" x14ac:dyDescent="0.25">
      <c r="A54">
        <v>19</v>
      </c>
      <c r="B54">
        <v>338.26876800000002</v>
      </c>
      <c r="C54">
        <v>423.33</v>
      </c>
      <c r="D54" s="6">
        <f t="shared" si="12"/>
        <v>0.2009336262490255</v>
      </c>
      <c r="F54">
        <v>19</v>
      </c>
      <c r="G54">
        <v>338.13699300000002</v>
      </c>
      <c r="H54">
        <v>425.93</v>
      </c>
      <c r="I54" s="6">
        <f t="shared" si="13"/>
        <v>0.20612074049726478</v>
      </c>
    </row>
    <row r="55" spans="1:9" x14ac:dyDescent="0.25">
      <c r="A55">
        <v>20</v>
      </c>
      <c r="B55">
        <v>357.95288099999999</v>
      </c>
      <c r="C55">
        <v>485.9</v>
      </c>
      <c r="D55" s="6">
        <f t="shared" si="12"/>
        <v>0.26331985799547231</v>
      </c>
      <c r="F55">
        <v>20</v>
      </c>
      <c r="G55">
        <v>364.12295499999999</v>
      </c>
      <c r="H55">
        <v>454.22</v>
      </c>
      <c r="I55" s="6">
        <f t="shared" si="13"/>
        <v>0.19835552155343233</v>
      </c>
    </row>
    <row r="56" spans="1:9" x14ac:dyDescent="0.25">
      <c r="A56">
        <v>21</v>
      </c>
      <c r="B56">
        <v>356.03045700000001</v>
      </c>
      <c r="C56">
        <v>404.85</v>
      </c>
      <c r="D56" s="6">
        <f t="shared" si="12"/>
        <v>0.1205867432382364</v>
      </c>
      <c r="F56">
        <v>21</v>
      </c>
      <c r="G56">
        <v>364.29510499999998</v>
      </c>
      <c r="H56">
        <v>425.59</v>
      </c>
      <c r="I56" s="6">
        <f t="shared" si="13"/>
        <v>0.14402334406353534</v>
      </c>
    </row>
    <row r="57" spans="1:9" x14ac:dyDescent="0.25">
      <c r="A57">
        <v>22</v>
      </c>
      <c r="B57">
        <v>323.64218099999999</v>
      </c>
      <c r="C57">
        <v>394.69</v>
      </c>
      <c r="D57" s="6">
        <f t="shared" si="12"/>
        <v>0.18000916922141427</v>
      </c>
      <c r="F57">
        <v>22</v>
      </c>
      <c r="G57">
        <v>339.01431300000002</v>
      </c>
      <c r="H57">
        <v>406.64</v>
      </c>
      <c r="I57" s="6">
        <f t="shared" si="13"/>
        <v>0.16630357810348212</v>
      </c>
    </row>
    <row r="58" spans="1:9" x14ac:dyDescent="0.25">
      <c r="A58">
        <v>23</v>
      </c>
      <c r="B58">
        <v>250.45704699999999</v>
      </c>
      <c r="C58">
        <v>312.72000000000003</v>
      </c>
      <c r="D58" s="6">
        <f t="shared" si="12"/>
        <v>0.19910128229726284</v>
      </c>
      <c r="F58">
        <v>23</v>
      </c>
      <c r="G58">
        <v>275.39248700000002</v>
      </c>
      <c r="H58">
        <v>302.69</v>
      </c>
      <c r="I58" s="6">
        <f t="shared" si="13"/>
        <v>9.0183068485909609E-2</v>
      </c>
    </row>
    <row r="59" spans="1:9" x14ac:dyDescent="0.25">
      <c r="A59">
        <v>24</v>
      </c>
      <c r="B59">
        <v>255.593887</v>
      </c>
      <c r="C59">
        <v>335.52</v>
      </c>
      <c r="D59" s="6">
        <f t="shared" si="12"/>
        <v>0.23821564437291365</v>
      </c>
      <c r="F59">
        <v>24</v>
      </c>
      <c r="G59">
        <v>249.51151999999999</v>
      </c>
      <c r="H59">
        <v>336.28</v>
      </c>
      <c r="I59" s="6">
        <f t="shared" si="13"/>
        <v>0.25802450339003208</v>
      </c>
    </row>
    <row r="60" spans="1:9" x14ac:dyDescent="0.25">
      <c r="A60">
        <v>25</v>
      </c>
      <c r="B60">
        <v>294.96655299999998</v>
      </c>
      <c r="C60">
        <v>426.01</v>
      </c>
      <c r="D60" s="6">
        <f t="shared" si="12"/>
        <v>0.30760650454214694</v>
      </c>
      <c r="F60">
        <v>25</v>
      </c>
      <c r="G60">
        <v>291.277557</v>
      </c>
      <c r="H60">
        <v>404.23</v>
      </c>
      <c r="I60" s="6">
        <f t="shared" si="13"/>
        <v>0.27942617569205652</v>
      </c>
    </row>
    <row r="61" spans="1:9" x14ac:dyDescent="0.25">
      <c r="A61">
        <v>26</v>
      </c>
      <c r="B61">
        <v>351.32138099999997</v>
      </c>
      <c r="C61">
        <v>389.33</v>
      </c>
      <c r="D61" s="6">
        <f t="shared" si="12"/>
        <v>9.7625713405080555E-2</v>
      </c>
      <c r="F61">
        <v>26</v>
      </c>
      <c r="G61">
        <v>359.67169200000001</v>
      </c>
      <c r="H61">
        <v>487.47</v>
      </c>
      <c r="I61" s="6">
        <f t="shared" si="13"/>
        <v>0.26216650870822822</v>
      </c>
    </row>
    <row r="62" spans="1:9" x14ac:dyDescent="0.25">
      <c r="A62">
        <v>27</v>
      </c>
      <c r="B62">
        <v>366.52511600000003</v>
      </c>
      <c r="C62">
        <v>362.41</v>
      </c>
      <c r="D62" s="6">
        <f t="shared" si="12"/>
        <v>1.1354863276399658E-2</v>
      </c>
      <c r="F62">
        <v>27</v>
      </c>
      <c r="G62">
        <v>369.03842200000003</v>
      </c>
      <c r="H62">
        <v>368.64</v>
      </c>
      <c r="I62" s="6">
        <f t="shared" si="13"/>
        <v>1.0807888454862173E-3</v>
      </c>
    </row>
    <row r="63" spans="1:9" x14ac:dyDescent="0.25">
      <c r="A63">
        <v>28</v>
      </c>
      <c r="B63">
        <v>376.30011000000002</v>
      </c>
      <c r="C63">
        <v>394.95</v>
      </c>
      <c r="D63" s="6">
        <f t="shared" si="12"/>
        <v>4.722088872009108E-2</v>
      </c>
      <c r="F63">
        <v>28</v>
      </c>
      <c r="G63">
        <v>383.60244799999998</v>
      </c>
      <c r="H63">
        <v>503.53</v>
      </c>
      <c r="I63" s="6">
        <f t="shared" si="13"/>
        <v>0.23817359839532898</v>
      </c>
    </row>
  </sheetData>
  <mergeCells count="15">
    <mergeCell ref="AT1:AW2"/>
    <mergeCell ref="AY1:BB2"/>
    <mergeCell ref="BD1:BG2"/>
    <mergeCell ref="A33:D34"/>
    <mergeCell ref="F33:I34"/>
    <mergeCell ref="K33:N34"/>
    <mergeCell ref="U1:X2"/>
    <mergeCell ref="Z1:AC2"/>
    <mergeCell ref="AE1:AH2"/>
    <mergeCell ref="AJ1:AM2"/>
    <mergeCell ref="AO1:AR2"/>
    <mergeCell ref="A1:D2"/>
    <mergeCell ref="F1:I2"/>
    <mergeCell ref="K1:N2"/>
    <mergeCell ref="P1:S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DEMANDA ELÉCTRICA PARA NORESTE </vt:lpstr>
      <vt:lpstr>DEMANDA ELÉCTRICA HORARIA 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2020-03-31T00:30:03Z</dcterms:modified>
</cp:coreProperties>
</file>