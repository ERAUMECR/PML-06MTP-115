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Dem Gen Pron" sheetId="4" r:id="rId3"/>
    <sheet name="Pronósticos PML" sheetId="3" r:id="rId4"/>
  </sheets>
  <calcPr calcId="152511"/>
</workbook>
</file>

<file path=xl/calcChain.xml><?xml version="1.0" encoding="utf-8"?>
<calcChain xmlns="http://schemas.openxmlformats.org/spreadsheetml/2006/main">
  <c r="AH5" i="4" l="1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4" i="4"/>
  <c r="AB35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" i="4"/>
  <c r="W76" i="4"/>
  <c r="E36" i="4"/>
  <c r="L76" i="4"/>
  <c r="Q36" i="4"/>
  <c r="Q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AH76" i="4" l="1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16" i="3"/>
  <c r="BN17" i="3" s="1"/>
  <c r="BK17" i="3"/>
  <c r="BG32" i="3"/>
  <c r="BB32" i="3"/>
  <c r="AW32" i="3"/>
  <c r="BJ45" i="3"/>
  <c r="BJ16" i="3"/>
  <c r="BJ18" i="3"/>
  <c r="BJ17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I43" i="3"/>
  <c r="BI42" i="3" s="1"/>
  <c r="BI41" i="3" s="1"/>
  <c r="BI40" i="3" s="1"/>
  <c r="BI39" i="3" s="1"/>
  <c r="BI38" i="3" s="1"/>
  <c r="BI37" i="3" s="1"/>
  <c r="BI36" i="3" s="1"/>
  <c r="BI35" i="3" s="1"/>
  <c r="BI34" i="3" s="1"/>
  <c r="BI33" i="3" s="1"/>
  <c r="BI32" i="3" s="1"/>
  <c r="BI31" i="3" s="1"/>
  <c r="BI30" i="3" s="1"/>
  <c r="BI29" i="3" s="1"/>
  <c r="BI28" i="3" s="1"/>
  <c r="BI27" i="3" s="1"/>
  <c r="BI26" i="3" s="1"/>
  <c r="BI25" i="3" s="1"/>
  <c r="BI24" i="3" s="1"/>
  <c r="BI23" i="3" s="1"/>
  <c r="BI22" i="3" s="1"/>
  <c r="BI21" i="3" s="1"/>
  <c r="BI20" i="3" s="1"/>
  <c r="BI19" i="3" s="1"/>
  <c r="BI18" i="3" s="1"/>
  <c r="BI17" i="3" s="1"/>
  <c r="BI16" i="3" s="1"/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<sst xmlns="http://schemas.openxmlformats.org/spreadsheetml/2006/main" count="65" uniqueCount="41">
  <si>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</si>
  <si>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</si>
  <si>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</si>
  <si>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</si>
  <si>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</si>
  <si>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</si>
  <si>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</si>
  <si>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</si>
  <si>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</si>
  <si>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</si>
  <si>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</si>
  <si>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</si>
  <si>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</si>
  <si>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</si>
  <si>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</si>
  <si>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</si>
  <si>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</si>
  <si>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</si>
  <si>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</si>
  <si>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</si>
  <si>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14 EARLY STOPPING 3 FOLDERS 3 LAYERS 100,50,25 neurons 200 epochs 3 dataset_size Adam Dropout 0.5</t>
  </si>
  <si>
    <t>HORA 15 EARLY STOPPING 3 FOLDERS 4 LAYERS 100,100,100,25 neurons 200 epochs 3 dataset_size 0.001 Adam Dropout 0.5</t>
  </si>
  <si>
    <t>HORA 16 EARLY STOPPING 3 FOLDERS 5 LAYERS 100,100,50,25,25 neurons 200 epochs 3 dataset_size 0.003 Adam Dropout 0.5</t>
  </si>
  <si>
    <t>HORA 17 EARLY STOPPING 3 FOLDERS 5 LAYERS 100,100,50,50,25 neurons 200 epochs 3 dataset_size 0.003 Adam Dropout 0.5</t>
  </si>
  <si>
    <t>HORA 18 EARLY STOPPING 3 FOLDERS 5 LAYERS 100,50,50,50,25 neurons 200 epochs 3 dataset_size 0.003 Adam Dropout 0.5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</si>
  <si>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</si>
  <si>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</si>
  <si>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</si>
  <si>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</si>
  <si>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</si>
  <si>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</si>
  <si>
    <t>Error</t>
  </si>
  <si>
    <t>Día</t>
  </si>
  <si>
    <t>% Acierto</t>
  </si>
  <si>
    <t>Salida</t>
  </si>
  <si>
    <t>Viable</t>
  </si>
  <si>
    <t>Valor Real</t>
  </si>
  <si>
    <t>Predicción</t>
  </si>
  <si>
    <t>Training, test set</t>
  </si>
  <si>
    <t>Predicciones reales contra datos actuales</t>
  </si>
  <si>
    <t>El pronóstico se pude obtener del área pública del CENACE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</si>
</sst>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10" fontId="0" fillId="33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0" xfId="0" applyAlignment="1"/>
    <xf numFmtId="10" fontId="0" fillId="34" borderId="0" xfId="0" applyNumberFormat="1" applyFill="1" applyAlignment="1">
      <alignment horizontal="center"/>
    </xf>
    <xf numFmtId="10" fontId="0" fillId="33" borderId="10" xfId="0" applyNumberFormat="1" applyFill="1" applyBorder="1" applyAlignment="1">
      <alignment horizontal="center"/>
    </xf>
    <xf numFmtId="10" fontId="0" fillId="35" borderId="10" xfId="0" applyNumberFormat="1" applyFill="1" applyBorder="1" applyAlignment="1">
      <alignment horizontal="center"/>
    </xf>
    <xf numFmtId="9" fontId="0" fillId="0" borderId="0" xfId="1" applyFont="1" applyAlignment="1"/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10" xfId="0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9" fontId="0" fillId="0" borderId="10" xfId="1" applyFont="1" applyBorder="1"/>
    <xf numFmtId="14" fontId="0" fillId="0" borderId="10" xfId="0" applyNumberFormat="1" applyBorder="1"/>
    <xf numFmtId="0" fontId="0" fillId="0" borderId="15" xfId="0" applyBorder="1" applyAlignment="1">
      <alignment horizontal="center"/>
    </xf>
    <xf numFmtId="0" fontId="0" fillId="0" borderId="15" xfId="0" applyBorder="1"/>
    <xf numFmtId="9" fontId="0" fillId="0" borderId="15" xfId="1" applyFont="1" applyBorder="1"/>
    <xf numFmtId="0" fontId="0" fillId="0" borderId="16" xfId="0" applyBorder="1" applyAlignment="1">
      <alignment horizontal="center"/>
    </xf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0" fillId="0" borderId="10" xfId="0" applyBorder="1" applyAlignment="1"/>
    <xf numFmtId="0" fontId="0" fillId="0" borderId="20" xfId="0" applyBorder="1" applyAlignment="1">
      <alignment horizontal="center"/>
    </xf>
    <xf numFmtId="170" fontId="0" fillId="0" borderId="0" xfId="0" applyNumberFormat="1"/>
    <xf numFmtId="9" fontId="0" fillId="0" borderId="0" xfId="1" applyFont="1" applyBorder="1"/>
    <xf numFmtId="170" fontId="0" fillId="0" borderId="0" xfId="0" applyNumberFormat="1" applyBorder="1"/>
    <xf numFmtId="9" fontId="0" fillId="0" borderId="16" xfId="1" applyFont="1" applyBorder="1"/>
    <xf numFmtId="9" fontId="0" fillId="0" borderId="0" xfId="0" applyNumberFormat="1" applyBorder="1"/>
    <xf numFmtId="170" fontId="0" fillId="0" borderId="16" xfId="1" applyNumberFormat="1" applyFont="1" applyBorder="1"/>
    <xf numFmtId="9" fontId="0" fillId="33" borderId="10" xfId="1" applyFont="1" applyFill="1" applyBorder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workbookViewId="0">
      <selection activeCell="E2058" sqref="E2058:E208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A54" workbookViewId="0">
      <selection activeCell="B88" sqref="B61:B88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48"/>
  <sheetViews>
    <sheetView tabSelected="1" topLeftCell="X18" zoomScale="85" zoomScaleNormal="85" workbookViewId="0">
      <selection activeCell="AL26" sqref="AL26"/>
    </sheetView>
  </sheetViews>
  <sheetFormatPr baseColWidth="10" defaultRowHeight="15" x14ac:dyDescent="0.25"/>
  <sheetData>
    <row r="1" spans="1:40" x14ac:dyDescent="0.25">
      <c r="B1" s="25" t="s">
        <v>5</v>
      </c>
      <c r="C1" s="25"/>
      <c r="D1" s="25"/>
      <c r="E1" s="25"/>
      <c r="F1" s="32"/>
      <c r="G1" s="32"/>
      <c r="H1" s="25"/>
      <c r="I1" s="25"/>
      <c r="J1" s="25"/>
      <c r="K1" s="25"/>
      <c r="L1" s="25"/>
      <c r="N1" s="26"/>
      <c r="O1" s="25" t="s">
        <v>4</v>
      </c>
      <c r="P1" s="25"/>
      <c r="Q1" s="25"/>
      <c r="R1" s="25"/>
      <c r="S1" s="25"/>
      <c r="T1" s="25"/>
      <c r="U1" s="25"/>
      <c r="V1" s="25"/>
      <c r="W1" s="25"/>
      <c r="Y1" s="25" t="s">
        <v>3</v>
      </c>
      <c r="Z1" s="25"/>
      <c r="AA1" s="25"/>
      <c r="AB1" s="25"/>
      <c r="AC1" s="25"/>
      <c r="AD1" s="25"/>
      <c r="AE1" s="25"/>
      <c r="AF1" s="25"/>
      <c r="AG1" s="25"/>
      <c r="AH1" s="25"/>
    </row>
    <row r="2" spans="1:40" x14ac:dyDescent="0.25">
      <c r="B2" s="26"/>
      <c r="C2" s="25" t="s">
        <v>38</v>
      </c>
      <c r="D2" s="25"/>
      <c r="E2" s="29"/>
      <c r="F2" s="35"/>
      <c r="G2" s="36"/>
      <c r="H2" s="25" t="s">
        <v>39</v>
      </c>
      <c r="I2" s="25"/>
      <c r="J2" s="25"/>
      <c r="K2" s="25"/>
      <c r="L2" s="25"/>
      <c r="N2" s="38"/>
      <c r="O2" s="39" t="s">
        <v>38</v>
      </c>
      <c r="P2" s="39"/>
      <c r="Q2" s="39"/>
      <c r="S2" s="39" t="s">
        <v>39</v>
      </c>
      <c r="T2" s="39"/>
      <c r="U2" s="39"/>
      <c r="V2" s="39"/>
      <c r="W2" s="25"/>
      <c r="Y2" s="25" t="s">
        <v>38</v>
      </c>
      <c r="Z2" s="25"/>
      <c r="AA2" s="25"/>
      <c r="AB2" s="25"/>
      <c r="AD2" s="39" t="s">
        <v>39</v>
      </c>
      <c r="AE2" s="39"/>
      <c r="AF2" s="39"/>
      <c r="AG2" s="39"/>
      <c r="AH2" s="25"/>
    </row>
    <row r="3" spans="1:40" x14ac:dyDescent="0.25">
      <c r="B3" s="26"/>
      <c r="C3" s="26" t="s">
        <v>37</v>
      </c>
      <c r="D3" s="26" t="s">
        <v>36</v>
      </c>
      <c r="E3" s="30" t="s">
        <v>31</v>
      </c>
      <c r="F3" s="34"/>
      <c r="G3" s="33"/>
      <c r="H3" s="26" t="s">
        <v>0</v>
      </c>
      <c r="I3" s="26" t="s">
        <v>1</v>
      </c>
      <c r="J3" s="26" t="s">
        <v>36</v>
      </c>
      <c r="K3" s="26" t="s">
        <v>37</v>
      </c>
      <c r="L3" s="26"/>
      <c r="N3" s="26"/>
      <c r="O3" s="37" t="s">
        <v>37</v>
      </c>
      <c r="P3" s="26" t="s">
        <v>36</v>
      </c>
      <c r="Q3" s="26" t="s">
        <v>31</v>
      </c>
      <c r="S3" s="26" t="s">
        <v>0</v>
      </c>
      <c r="T3" s="26" t="s">
        <v>1</v>
      </c>
      <c r="U3" s="26" t="s">
        <v>36</v>
      </c>
      <c r="V3" s="26" t="s">
        <v>37</v>
      </c>
      <c r="W3" s="26"/>
      <c r="X3" s="1">
        <v>43916</v>
      </c>
      <c r="Y3" s="26">
        <v>0</v>
      </c>
      <c r="Z3" s="26">
        <v>7072.90391</v>
      </c>
      <c r="AA3" s="26">
        <v>6929</v>
      </c>
      <c r="AB3" s="27">
        <f>ABS((Z3-AA3)/Z3)</f>
        <v>2.0345803057856049E-2</v>
      </c>
      <c r="AD3" s="26" t="s">
        <v>0</v>
      </c>
      <c r="AE3" s="26" t="s">
        <v>1</v>
      </c>
      <c r="AF3" s="26" t="s">
        <v>36</v>
      </c>
      <c r="AG3" s="26" t="s">
        <v>37</v>
      </c>
      <c r="AH3" s="26"/>
      <c r="AJ3" s="24" t="s">
        <v>40</v>
      </c>
      <c r="AK3" s="24"/>
      <c r="AL3" s="24"/>
      <c r="AM3" s="24"/>
      <c r="AN3" s="24"/>
    </row>
    <row r="4" spans="1:40" x14ac:dyDescent="0.25">
      <c r="A4" s="1">
        <v>43916</v>
      </c>
      <c r="B4" s="26">
        <v>0</v>
      </c>
      <c r="C4" s="26">
        <v>7811.0120859999997</v>
      </c>
      <c r="D4" s="26">
        <v>7583.57</v>
      </c>
      <c r="E4" s="31">
        <f>ABS((D4-C4))/D4</f>
        <v>2.9991426992827919E-2</v>
      </c>
      <c r="F4" s="34"/>
      <c r="G4" s="33"/>
      <c r="H4" s="28">
        <v>43918</v>
      </c>
      <c r="I4" s="26">
        <v>0</v>
      </c>
      <c r="J4" s="26">
        <v>7114.17</v>
      </c>
      <c r="K4" s="26">
        <v>7189.2533729999996</v>
      </c>
      <c r="L4" s="27">
        <f>ABS((J4-K4)/J4)</f>
        <v>1.0554059433496738E-2</v>
      </c>
      <c r="M4" s="1">
        <v>43916</v>
      </c>
      <c r="N4" s="38">
        <v>0</v>
      </c>
      <c r="O4" s="38">
        <v>12488.626961</v>
      </c>
      <c r="P4" s="26">
        <v>12575.43</v>
      </c>
      <c r="Q4" s="27">
        <f>ABS((O4-P4)/O4)</f>
        <v>6.9505670456065718E-3</v>
      </c>
      <c r="S4" s="28">
        <v>43918</v>
      </c>
      <c r="T4" s="26">
        <v>0</v>
      </c>
      <c r="U4" s="26">
        <v>11725.92</v>
      </c>
      <c r="V4" s="26">
        <v>11910.593745</v>
      </c>
      <c r="W4" s="27">
        <f>ABS((U4-V4)/U4)</f>
        <v>1.5749190255434118E-2</v>
      </c>
      <c r="Y4" s="26">
        <v>1</v>
      </c>
      <c r="Z4" s="26">
        <v>7116.7806460000002</v>
      </c>
      <c r="AA4" s="26">
        <v>6922</v>
      </c>
      <c r="AB4" s="27">
        <f t="shared" ref="AB4:AB34" si="0">ABS((Z4-AA4)/Z4)</f>
        <v>2.7369207467350703E-2</v>
      </c>
      <c r="AD4" s="28">
        <v>43918</v>
      </c>
      <c r="AE4" s="26">
        <v>0</v>
      </c>
      <c r="AF4" s="26">
        <v>578.58000000000004</v>
      </c>
      <c r="AG4" s="26">
        <v>6850.357892</v>
      </c>
      <c r="AH4" s="46">
        <f>ABS((AF4-AG4)/AF4)</f>
        <v>10.839949344947975</v>
      </c>
    </row>
    <row r="5" spans="1:40" x14ac:dyDescent="0.25">
      <c r="B5" s="26">
        <v>1</v>
      </c>
      <c r="C5" s="26">
        <v>7640.3818819999997</v>
      </c>
      <c r="D5" s="26">
        <v>7403.4</v>
      </c>
      <c r="E5" s="31">
        <f t="shared" ref="E5:E35" si="1">ABS((D5-C5))/D5</f>
        <v>3.2009871410433051E-2</v>
      </c>
      <c r="F5" s="34"/>
      <c r="G5" s="33"/>
      <c r="H5" s="28">
        <v>43918</v>
      </c>
      <c r="I5" s="26">
        <v>1</v>
      </c>
      <c r="J5" s="26">
        <v>6947.67</v>
      </c>
      <c r="K5" s="26">
        <v>7185.3827359999996</v>
      </c>
      <c r="L5" s="27">
        <f t="shared" ref="L5:L68" si="2">ABS((J5-K5)/J5)</f>
        <v>3.4214741920672614E-2</v>
      </c>
      <c r="N5" s="38">
        <v>1</v>
      </c>
      <c r="O5" s="38">
        <v>12789.984081000001</v>
      </c>
      <c r="P5" s="26">
        <v>12781.2</v>
      </c>
      <c r="Q5" s="27">
        <f t="shared" ref="Q5:Q35" si="3">ABS((O5-P5)/O5)</f>
        <v>6.8679373988032302E-4</v>
      </c>
      <c r="S5" s="28">
        <v>43918</v>
      </c>
      <c r="T5" s="26">
        <v>1</v>
      </c>
      <c r="U5" s="26">
        <v>11527.08</v>
      </c>
      <c r="V5" s="26">
        <v>11971.470633000001</v>
      </c>
      <c r="W5" s="27">
        <f t="shared" ref="W5:W68" si="4">ABS((U5-V5)/U5)</f>
        <v>3.8551882436835772E-2</v>
      </c>
      <c r="Y5" s="26">
        <v>2</v>
      </c>
      <c r="Z5" s="26">
        <v>7109.0949199999995</v>
      </c>
      <c r="AA5" s="26">
        <v>6826.67</v>
      </c>
      <c r="AB5" s="27">
        <f t="shared" si="0"/>
        <v>3.9727268123183182E-2</v>
      </c>
      <c r="AD5" s="28">
        <v>43918</v>
      </c>
      <c r="AE5" s="26">
        <v>1</v>
      </c>
      <c r="AF5" s="26">
        <v>6183.83</v>
      </c>
      <c r="AG5" s="26">
        <v>6746.7075400000003</v>
      </c>
      <c r="AH5" s="27">
        <f t="shared" ref="AH5:AH68" si="5">ABS((AF5-AG5)/AF5)</f>
        <v>9.1024096716759748E-2</v>
      </c>
    </row>
    <row r="6" spans="1:40" x14ac:dyDescent="0.25">
      <c r="B6" s="26">
        <v>2</v>
      </c>
      <c r="C6" s="26">
        <v>7389.1901470000003</v>
      </c>
      <c r="D6" s="26">
        <v>7263.83</v>
      </c>
      <c r="E6" s="31">
        <f t="shared" si="1"/>
        <v>1.7258133381425546E-2</v>
      </c>
      <c r="F6" s="34"/>
      <c r="G6" s="33"/>
      <c r="H6" s="28">
        <v>43918</v>
      </c>
      <c r="I6" s="26">
        <v>2</v>
      </c>
      <c r="J6" s="26">
        <v>6818.33</v>
      </c>
      <c r="K6" s="26">
        <v>7186.6345289999999</v>
      </c>
      <c r="L6" s="27">
        <f t="shared" si="2"/>
        <v>5.4016823621033307E-2</v>
      </c>
      <c r="N6" s="26">
        <v>2</v>
      </c>
      <c r="O6" s="26">
        <v>12976.224456</v>
      </c>
      <c r="P6" s="26">
        <v>13025.5</v>
      </c>
      <c r="Q6" s="27">
        <f t="shared" si="3"/>
        <v>3.797371428575733E-3</v>
      </c>
      <c r="S6" s="28">
        <v>43918</v>
      </c>
      <c r="T6" s="26">
        <v>2</v>
      </c>
      <c r="U6" s="26">
        <v>11426.17</v>
      </c>
      <c r="V6" s="26">
        <v>11993.368082000001</v>
      </c>
      <c r="W6" s="27">
        <f t="shared" si="4"/>
        <v>4.9640262835228322E-2</v>
      </c>
      <c r="Y6" s="26">
        <v>3</v>
      </c>
      <c r="Z6" s="26">
        <v>7018.9270999999999</v>
      </c>
      <c r="AA6" s="26">
        <v>6674.08</v>
      </c>
      <c r="AB6" s="27">
        <f t="shared" si="0"/>
        <v>4.9131027447200576E-2</v>
      </c>
      <c r="AD6" s="28">
        <v>43918</v>
      </c>
      <c r="AE6" s="26">
        <v>2</v>
      </c>
      <c r="AF6" s="26">
        <v>6537</v>
      </c>
      <c r="AG6" s="26">
        <v>6679.2093940000004</v>
      </c>
      <c r="AH6" s="27">
        <f t="shared" si="5"/>
        <v>2.1754534801896961E-2</v>
      </c>
    </row>
    <row r="7" spans="1:40" x14ac:dyDescent="0.25">
      <c r="B7" s="26">
        <v>3</v>
      </c>
      <c r="C7" s="26">
        <v>7177.7518190000001</v>
      </c>
      <c r="D7" s="26">
        <v>7286.25</v>
      </c>
      <c r="E7" s="31">
        <f t="shared" si="1"/>
        <v>1.4890812283410524E-2</v>
      </c>
      <c r="F7" s="34"/>
      <c r="G7" s="33"/>
      <c r="H7" s="28">
        <v>43918</v>
      </c>
      <c r="I7" s="26">
        <v>3</v>
      </c>
      <c r="J7" s="26">
        <v>6593.58</v>
      </c>
      <c r="K7" s="26">
        <v>7177.2205640000002</v>
      </c>
      <c r="L7" s="27">
        <f t="shared" si="2"/>
        <v>8.8516490889622976E-2</v>
      </c>
      <c r="N7" s="26">
        <v>3</v>
      </c>
      <c r="O7" s="26">
        <v>13232.331509</v>
      </c>
      <c r="P7" s="26">
        <v>13152.83</v>
      </c>
      <c r="Q7" s="27">
        <f t="shared" si="3"/>
        <v>6.0081255480885273E-3</v>
      </c>
      <c r="S7" s="28">
        <v>43918</v>
      </c>
      <c r="T7" s="26">
        <v>3</v>
      </c>
      <c r="U7" s="26">
        <v>11469.92</v>
      </c>
      <c r="V7" s="26">
        <v>12011.316024</v>
      </c>
      <c r="W7" s="27">
        <f t="shared" si="4"/>
        <v>4.7201377516146552E-2</v>
      </c>
      <c r="Y7" s="26">
        <v>4</v>
      </c>
      <c r="Z7" s="26">
        <v>6835.8102550000003</v>
      </c>
      <c r="AA7" s="26">
        <v>6639.92</v>
      </c>
      <c r="AB7" s="27">
        <f t="shared" si="0"/>
        <v>2.8656479289593775E-2</v>
      </c>
      <c r="AD7" s="28">
        <v>43918</v>
      </c>
      <c r="AE7" s="26">
        <v>3</v>
      </c>
      <c r="AF7" s="26">
        <v>6372.25</v>
      </c>
      <c r="AG7" s="26">
        <v>6630.1761280000001</v>
      </c>
      <c r="AH7" s="27">
        <f t="shared" si="5"/>
        <v>4.0476460904703998E-2</v>
      </c>
    </row>
    <row r="8" spans="1:40" x14ac:dyDescent="0.25">
      <c r="B8" s="26">
        <v>4</v>
      </c>
      <c r="C8" s="26">
        <v>7249.5531099999998</v>
      </c>
      <c r="D8" s="26">
        <v>7270.25</v>
      </c>
      <c r="E8" s="31">
        <f t="shared" si="1"/>
        <v>2.8467920635466687E-3</v>
      </c>
      <c r="F8" s="34"/>
      <c r="G8" s="33"/>
      <c r="H8" s="28">
        <v>43918</v>
      </c>
      <c r="I8" s="26">
        <v>4</v>
      </c>
      <c r="J8" s="26">
        <v>6536.75</v>
      </c>
      <c r="K8" s="26">
        <v>7170.5638090000002</v>
      </c>
      <c r="L8" s="27">
        <f t="shared" si="2"/>
        <v>9.6961610739281792E-2</v>
      </c>
      <c r="N8" s="26">
        <v>4</v>
      </c>
      <c r="O8" s="26">
        <v>13280.149374000001</v>
      </c>
      <c r="P8" s="26">
        <v>12903.58</v>
      </c>
      <c r="Q8" s="27">
        <f t="shared" si="3"/>
        <v>2.8355808612910004E-2</v>
      </c>
      <c r="S8" s="28">
        <v>43918</v>
      </c>
      <c r="T8" s="26">
        <v>4</v>
      </c>
      <c r="U8" s="26">
        <v>11736.5</v>
      </c>
      <c r="V8" s="26">
        <v>12036.337613</v>
      </c>
      <c r="W8" s="27">
        <f t="shared" si="4"/>
        <v>2.5547447109444867E-2</v>
      </c>
      <c r="Y8" s="26">
        <v>5</v>
      </c>
      <c r="Z8" s="26">
        <v>6681.697494</v>
      </c>
      <c r="AA8" s="26">
        <v>6638</v>
      </c>
      <c r="AB8" s="27">
        <f t="shared" si="0"/>
        <v>6.5398791309003862E-3</v>
      </c>
      <c r="AD8" s="28">
        <v>43918</v>
      </c>
      <c r="AE8" s="26">
        <v>4</v>
      </c>
      <c r="AF8" s="26">
        <v>6256.33</v>
      </c>
      <c r="AG8" s="26">
        <v>6548.206537</v>
      </c>
      <c r="AH8" s="27">
        <f t="shared" si="5"/>
        <v>4.6652995765888328E-2</v>
      </c>
    </row>
    <row r="9" spans="1:40" x14ac:dyDescent="0.25">
      <c r="B9" s="26">
        <v>5</v>
      </c>
      <c r="C9" s="26">
        <v>7238.6492150000004</v>
      </c>
      <c r="D9" s="26">
        <v>7271</v>
      </c>
      <c r="E9" s="31">
        <f t="shared" si="1"/>
        <v>4.4492896437903495E-3</v>
      </c>
      <c r="F9" s="34"/>
      <c r="G9" s="33"/>
      <c r="H9" s="28">
        <v>43918</v>
      </c>
      <c r="I9" s="26">
        <v>5</v>
      </c>
      <c r="J9" s="26">
        <v>6377.08</v>
      </c>
      <c r="K9" s="26">
        <v>7166.9916030000004</v>
      </c>
      <c r="L9" s="27">
        <f t="shared" si="2"/>
        <v>0.12386728769279992</v>
      </c>
      <c r="N9" s="26">
        <v>5</v>
      </c>
      <c r="O9" s="26">
        <v>12768.062511</v>
      </c>
      <c r="P9" s="26">
        <v>12903</v>
      </c>
      <c r="Q9" s="27">
        <f t="shared" si="3"/>
        <v>1.0568360617262639E-2</v>
      </c>
      <c r="S9" s="28">
        <v>43918</v>
      </c>
      <c r="T9" s="26">
        <v>5</v>
      </c>
      <c r="U9" s="26">
        <v>11567.58</v>
      </c>
      <c r="V9" s="26">
        <v>12050.611784999999</v>
      </c>
      <c r="W9" s="27">
        <f t="shared" si="4"/>
        <v>4.1757375786465212E-2</v>
      </c>
      <c r="Y9" s="26">
        <v>6</v>
      </c>
      <c r="Z9" s="26">
        <v>6575.3065900000001</v>
      </c>
      <c r="AA9" s="26">
        <v>6638</v>
      </c>
      <c r="AB9" s="27">
        <f t="shared" si="0"/>
        <v>9.5346747930121767E-3</v>
      </c>
      <c r="AD9" s="28">
        <v>43918</v>
      </c>
      <c r="AE9" s="26">
        <v>5</v>
      </c>
      <c r="AF9" s="26">
        <v>6166.33</v>
      </c>
      <c r="AG9" s="26">
        <v>6456.5816249999998</v>
      </c>
      <c r="AH9" s="27">
        <f t="shared" si="5"/>
        <v>4.707040087053399E-2</v>
      </c>
    </row>
    <row r="10" spans="1:40" x14ac:dyDescent="0.25">
      <c r="B10" s="26">
        <v>6</v>
      </c>
      <c r="C10" s="26">
        <v>7261.9248969999999</v>
      </c>
      <c r="D10" s="26">
        <v>7271</v>
      </c>
      <c r="E10" s="31">
        <f t="shared" si="1"/>
        <v>1.2481230917343043E-3</v>
      </c>
      <c r="F10" s="34"/>
      <c r="G10" s="33"/>
      <c r="H10" s="28">
        <v>43918</v>
      </c>
      <c r="I10" s="26">
        <v>6</v>
      </c>
      <c r="J10" s="26">
        <v>6189.25</v>
      </c>
      <c r="K10" s="26">
        <v>7160.6986489999999</v>
      </c>
      <c r="L10" s="27">
        <f t="shared" si="2"/>
        <v>0.15695740986387688</v>
      </c>
      <c r="N10" s="26">
        <v>6</v>
      </c>
      <c r="O10" s="26">
        <v>12985.962458</v>
      </c>
      <c r="P10" s="26">
        <v>12903</v>
      </c>
      <c r="Q10" s="27">
        <f t="shared" si="3"/>
        <v>6.3886260466501626E-3</v>
      </c>
      <c r="S10" s="28">
        <v>43918</v>
      </c>
      <c r="T10" s="26">
        <v>6</v>
      </c>
      <c r="U10" s="26">
        <v>11412.5</v>
      </c>
      <c r="V10" s="26">
        <v>12063.783825</v>
      </c>
      <c r="W10" s="27">
        <f t="shared" si="4"/>
        <v>5.7067585980284816E-2</v>
      </c>
      <c r="Y10" s="26">
        <v>7</v>
      </c>
      <c r="Z10" s="26">
        <v>6528.1224659999998</v>
      </c>
      <c r="AA10" s="26">
        <v>6638</v>
      </c>
      <c r="AB10" s="27">
        <f t="shared" si="0"/>
        <v>1.683141432659517E-2</v>
      </c>
      <c r="AD10" s="28">
        <v>43918</v>
      </c>
      <c r="AE10" s="26">
        <v>6</v>
      </c>
      <c r="AF10" s="26">
        <v>6127.83</v>
      </c>
      <c r="AG10" s="26">
        <v>6367.7767880000001</v>
      </c>
      <c r="AH10" s="27">
        <f t="shared" si="5"/>
        <v>3.9156893712782533E-2</v>
      </c>
    </row>
    <row r="11" spans="1:40" x14ac:dyDescent="0.25">
      <c r="B11" s="26">
        <v>7</v>
      </c>
      <c r="C11" s="26">
        <v>7247.2097780000004</v>
      </c>
      <c r="D11" s="26">
        <v>7271</v>
      </c>
      <c r="E11" s="31">
        <f t="shared" si="1"/>
        <v>3.2719326089945852E-3</v>
      </c>
      <c r="F11" s="34"/>
      <c r="G11" s="33"/>
      <c r="H11" s="28">
        <v>43918</v>
      </c>
      <c r="I11" s="26">
        <v>7</v>
      </c>
      <c r="J11" s="26">
        <v>6214.08</v>
      </c>
      <c r="K11" s="26">
        <v>7155.2832699999999</v>
      </c>
      <c r="L11" s="27">
        <f t="shared" si="2"/>
        <v>0.15146301141922858</v>
      </c>
      <c r="N11" s="26">
        <v>7</v>
      </c>
      <c r="O11" s="26">
        <v>12898.674295999999</v>
      </c>
      <c r="P11" s="26">
        <v>12903</v>
      </c>
      <c r="Q11" s="27">
        <f t="shared" si="3"/>
        <v>3.3536035570277256E-4</v>
      </c>
      <c r="S11" s="28">
        <v>43918</v>
      </c>
      <c r="T11" s="26">
        <v>7</v>
      </c>
      <c r="U11" s="26">
        <v>11215.83</v>
      </c>
      <c r="V11" s="26">
        <v>12084.32099</v>
      </c>
      <c r="W11" s="27">
        <f t="shared" si="4"/>
        <v>7.7434393174646926E-2</v>
      </c>
      <c r="Y11" s="26">
        <v>8</v>
      </c>
      <c r="Z11" s="26">
        <v>6532.1148810000004</v>
      </c>
      <c r="AA11" s="26">
        <v>6638</v>
      </c>
      <c r="AB11" s="27">
        <f t="shared" si="0"/>
        <v>1.6209929085599553E-2</v>
      </c>
      <c r="AD11" s="28">
        <v>43918</v>
      </c>
      <c r="AE11" s="26">
        <v>7</v>
      </c>
      <c r="AF11" s="26">
        <v>6135.08</v>
      </c>
      <c r="AG11" s="26">
        <v>6297.8905100000002</v>
      </c>
      <c r="AH11" s="27">
        <f t="shared" si="5"/>
        <v>2.6537634391075628E-2</v>
      </c>
    </row>
    <row r="12" spans="1:40" x14ac:dyDescent="0.25">
      <c r="B12" s="26">
        <v>8</v>
      </c>
      <c r="C12" s="26">
        <v>7264.0233680000001</v>
      </c>
      <c r="D12" s="26">
        <v>7271</v>
      </c>
      <c r="E12" s="31">
        <f t="shared" si="1"/>
        <v>9.5951478476136447E-4</v>
      </c>
      <c r="F12" s="34"/>
      <c r="G12" s="33"/>
      <c r="H12" s="28">
        <v>43918</v>
      </c>
      <c r="I12" s="26">
        <v>8</v>
      </c>
      <c r="J12" s="26">
        <v>6351.75</v>
      </c>
      <c r="K12" s="26">
        <v>7150.4307179999996</v>
      </c>
      <c r="L12" s="27">
        <f t="shared" si="2"/>
        <v>0.12574183776124684</v>
      </c>
      <c r="N12" s="26">
        <v>8</v>
      </c>
      <c r="O12" s="26">
        <v>12926.143741</v>
      </c>
      <c r="P12" s="26">
        <v>12903</v>
      </c>
      <c r="Q12" s="27">
        <f t="shared" si="3"/>
        <v>1.7904598203245265E-3</v>
      </c>
      <c r="S12" s="28">
        <v>43918</v>
      </c>
      <c r="T12" s="26">
        <v>8</v>
      </c>
      <c r="U12" s="26">
        <v>11215.42</v>
      </c>
      <c r="V12" s="26">
        <v>12104.927834</v>
      </c>
      <c r="W12" s="27">
        <f t="shared" si="4"/>
        <v>7.931114786606297E-2</v>
      </c>
      <c r="Y12" s="26">
        <v>9</v>
      </c>
      <c r="Z12" s="26">
        <v>6575.8420839999999</v>
      </c>
      <c r="AA12" s="26">
        <v>6638</v>
      </c>
      <c r="AB12" s="27">
        <f t="shared" si="0"/>
        <v>9.4524648259482306E-3</v>
      </c>
      <c r="AD12" s="28">
        <v>43918</v>
      </c>
      <c r="AE12" s="26">
        <v>8</v>
      </c>
      <c r="AF12" s="26">
        <v>6184.33</v>
      </c>
      <c r="AG12" s="26">
        <v>6224.631429</v>
      </c>
      <c r="AH12" s="27">
        <f t="shared" si="5"/>
        <v>6.5167009199056485E-3</v>
      </c>
    </row>
    <row r="13" spans="1:40" x14ac:dyDescent="0.25">
      <c r="B13" s="26">
        <v>9</v>
      </c>
      <c r="C13" s="26">
        <v>7271.4115899999997</v>
      </c>
      <c r="D13" s="26">
        <v>7271</v>
      </c>
      <c r="E13" s="31">
        <f t="shared" si="1"/>
        <v>5.6607069178889487E-5</v>
      </c>
      <c r="F13" s="34"/>
      <c r="G13" s="33"/>
      <c r="H13" s="28">
        <v>43918</v>
      </c>
      <c r="I13" s="26">
        <v>9</v>
      </c>
      <c r="J13" s="26">
        <v>6567.92</v>
      </c>
      <c r="K13" s="26">
        <v>7144.7229100000004</v>
      </c>
      <c r="L13" s="27">
        <f t="shared" si="2"/>
        <v>8.7821244777646551E-2</v>
      </c>
      <c r="N13" s="26">
        <v>9</v>
      </c>
      <c r="O13" s="26">
        <v>12906.364678</v>
      </c>
      <c r="P13" s="26">
        <v>12903</v>
      </c>
      <c r="Q13" s="27">
        <f t="shared" si="3"/>
        <v>2.6069912666696097E-4</v>
      </c>
      <c r="S13" s="28">
        <v>43918</v>
      </c>
      <c r="T13" s="26">
        <v>9</v>
      </c>
      <c r="U13" s="26">
        <v>11196.08</v>
      </c>
      <c r="V13" s="26">
        <v>12124.204917999999</v>
      </c>
      <c r="W13" s="27">
        <f t="shared" si="4"/>
        <v>8.2897310308607974E-2</v>
      </c>
      <c r="Y13" s="26">
        <v>10</v>
      </c>
      <c r="Z13" s="26">
        <v>6625.0334149999999</v>
      </c>
      <c r="AA13" s="26">
        <v>6638</v>
      </c>
      <c r="AB13" s="27">
        <f t="shared" si="0"/>
        <v>1.9572105056318606E-3</v>
      </c>
      <c r="AD13" s="28">
        <v>43918</v>
      </c>
      <c r="AE13" s="26">
        <v>9</v>
      </c>
      <c r="AF13" s="26">
        <v>6336.08</v>
      </c>
      <c r="AG13" s="26">
        <v>6141.9261729999998</v>
      </c>
      <c r="AH13" s="27">
        <f t="shared" si="5"/>
        <v>3.0642578218709374E-2</v>
      </c>
    </row>
    <row r="14" spans="1:40" x14ac:dyDescent="0.25">
      <c r="B14" s="26">
        <v>10</v>
      </c>
      <c r="C14" s="26">
        <v>7270.0705790000002</v>
      </c>
      <c r="D14" s="26">
        <v>7271</v>
      </c>
      <c r="E14" s="31">
        <f t="shared" si="1"/>
        <v>1.278257461146775E-4</v>
      </c>
      <c r="F14" s="34"/>
      <c r="G14" s="33"/>
      <c r="H14" s="28">
        <v>43918</v>
      </c>
      <c r="I14" s="26">
        <v>10</v>
      </c>
      <c r="J14" s="26">
        <v>6736.08</v>
      </c>
      <c r="K14" s="26">
        <v>7139.2746660000003</v>
      </c>
      <c r="L14" s="27">
        <f t="shared" si="2"/>
        <v>5.9855979442049428E-2</v>
      </c>
      <c r="N14" s="26">
        <v>10</v>
      </c>
      <c r="O14" s="26">
        <v>12877.420012</v>
      </c>
      <c r="P14" s="26">
        <v>12903</v>
      </c>
      <c r="Q14" s="27">
        <f t="shared" si="3"/>
        <v>1.9864218124564111E-3</v>
      </c>
      <c r="S14" s="28">
        <v>43918</v>
      </c>
      <c r="T14" s="26">
        <v>10</v>
      </c>
      <c r="U14" s="26">
        <v>11054.67</v>
      </c>
      <c r="V14" s="26">
        <v>12143.930402</v>
      </c>
      <c r="W14" s="27">
        <f t="shared" si="4"/>
        <v>9.8533959132203849E-2</v>
      </c>
      <c r="Y14" s="26">
        <v>11</v>
      </c>
      <c r="Z14" s="26">
        <v>6635.4402179999997</v>
      </c>
      <c r="AA14" s="26">
        <v>6638</v>
      </c>
      <c r="AB14" s="27">
        <f t="shared" si="0"/>
        <v>3.8577425399091562E-4</v>
      </c>
      <c r="AD14" s="28">
        <v>43918</v>
      </c>
      <c r="AE14" s="26">
        <v>10</v>
      </c>
      <c r="AF14" s="26">
        <v>6522.25</v>
      </c>
      <c r="AG14" s="26">
        <v>6054.6661620000004</v>
      </c>
      <c r="AH14" s="27">
        <f t="shared" si="5"/>
        <v>7.1690572731802613E-2</v>
      </c>
    </row>
    <row r="15" spans="1:40" x14ac:dyDescent="0.25">
      <c r="B15" s="26">
        <v>11</v>
      </c>
      <c r="C15" s="26">
        <v>7271.0557259999996</v>
      </c>
      <c r="D15" s="26">
        <v>7271</v>
      </c>
      <c r="E15" s="31">
        <f t="shared" si="1"/>
        <v>7.6641452344374828E-6</v>
      </c>
      <c r="F15" s="34"/>
      <c r="G15" s="33"/>
      <c r="H15" s="28">
        <v>43918</v>
      </c>
      <c r="I15" s="26">
        <v>11</v>
      </c>
      <c r="J15" s="26">
        <v>6730</v>
      </c>
      <c r="K15" s="26">
        <v>7134.0209750000004</v>
      </c>
      <c r="L15" s="27">
        <f t="shared" si="2"/>
        <v>6.0032834323922785E-2</v>
      </c>
      <c r="N15" s="26">
        <v>11</v>
      </c>
      <c r="O15" s="26">
        <v>12903.065927</v>
      </c>
      <c r="P15" s="26">
        <v>12903</v>
      </c>
      <c r="Q15" s="27">
        <f t="shared" si="3"/>
        <v>5.1094058088700329E-6</v>
      </c>
      <c r="S15" s="28">
        <v>43918</v>
      </c>
      <c r="T15" s="26">
        <v>11</v>
      </c>
      <c r="U15" s="26">
        <v>11012.5</v>
      </c>
      <c r="V15" s="26">
        <v>12163.198086</v>
      </c>
      <c r="W15" s="27">
        <f t="shared" si="4"/>
        <v>0.1044901780703746</v>
      </c>
      <c r="Y15" s="26">
        <v>12</v>
      </c>
      <c r="Z15" s="26">
        <v>6636.0271830000002</v>
      </c>
      <c r="AA15" s="26">
        <v>6638</v>
      </c>
      <c r="AB15" s="27">
        <f t="shared" si="0"/>
        <v>2.9728886660587538E-4</v>
      </c>
      <c r="AD15" s="28">
        <v>43918</v>
      </c>
      <c r="AE15" s="26">
        <v>11</v>
      </c>
      <c r="AF15" s="26">
        <v>6700.25</v>
      </c>
      <c r="AG15" s="26">
        <v>5973.5402649999996</v>
      </c>
      <c r="AH15" s="27">
        <f t="shared" si="5"/>
        <v>0.10846009253386073</v>
      </c>
    </row>
    <row r="16" spans="1:40" x14ac:dyDescent="0.25">
      <c r="B16" s="26">
        <v>12</v>
      </c>
      <c r="C16" s="26">
        <v>7271.0097569999998</v>
      </c>
      <c r="D16" s="26">
        <v>7271</v>
      </c>
      <c r="E16" s="31">
        <f t="shared" si="1"/>
        <v>1.3419062026968249E-6</v>
      </c>
      <c r="F16" s="34"/>
      <c r="G16" s="33"/>
      <c r="H16" s="28">
        <v>43918</v>
      </c>
      <c r="I16" s="26">
        <v>12</v>
      </c>
      <c r="J16" s="26">
        <v>6751.5</v>
      </c>
      <c r="K16" s="26">
        <v>7128.5473750000001</v>
      </c>
      <c r="L16" s="27">
        <f t="shared" si="2"/>
        <v>5.5846460045915737E-2</v>
      </c>
      <c r="N16" s="26">
        <v>12</v>
      </c>
      <c r="O16" s="26">
        <v>12903.127863</v>
      </c>
      <c r="P16" s="26">
        <v>12903</v>
      </c>
      <c r="Q16" s="27">
        <f t="shared" si="3"/>
        <v>9.9094577188804313E-6</v>
      </c>
      <c r="S16" s="28">
        <v>43918</v>
      </c>
      <c r="T16" s="26">
        <v>12</v>
      </c>
      <c r="U16" s="26">
        <v>10952.17</v>
      </c>
      <c r="V16" s="26">
        <v>12182.013342</v>
      </c>
      <c r="W16" s="27">
        <f t="shared" si="4"/>
        <v>0.11229220711511967</v>
      </c>
      <c r="Y16" s="26">
        <v>13</v>
      </c>
      <c r="Z16" s="26">
        <v>6636.0024240000002</v>
      </c>
      <c r="AA16" s="26">
        <v>6638</v>
      </c>
      <c r="AB16" s="27">
        <f t="shared" si="0"/>
        <v>3.0102098708934308E-4</v>
      </c>
      <c r="AD16" s="28">
        <v>43918</v>
      </c>
      <c r="AE16" s="26">
        <v>12</v>
      </c>
      <c r="AF16" s="26">
        <v>6863.5</v>
      </c>
      <c r="AG16" s="26">
        <v>5895.0287369999996</v>
      </c>
      <c r="AH16" s="27">
        <f t="shared" si="5"/>
        <v>0.14110457681940705</v>
      </c>
    </row>
    <row r="17" spans="2:34" x14ac:dyDescent="0.25">
      <c r="B17" s="26">
        <v>13</v>
      </c>
      <c r="C17" s="26">
        <v>7271.0077869999996</v>
      </c>
      <c r="D17" s="26">
        <v>7271</v>
      </c>
      <c r="E17" s="31">
        <f t="shared" si="1"/>
        <v>1.0709668545664681E-6</v>
      </c>
      <c r="F17" s="34"/>
      <c r="G17" s="33"/>
      <c r="H17" s="28">
        <v>43918</v>
      </c>
      <c r="I17" s="26">
        <v>13</v>
      </c>
      <c r="J17" s="26">
        <v>6805.17</v>
      </c>
      <c r="K17" s="26">
        <v>7123.1529760000003</v>
      </c>
      <c r="L17" s="27">
        <f t="shared" si="2"/>
        <v>4.6726676335785915E-2</v>
      </c>
      <c r="N17" s="26">
        <v>13</v>
      </c>
      <c r="O17" s="26">
        <v>12903.126699</v>
      </c>
      <c r="P17" s="26">
        <v>12903</v>
      </c>
      <c r="Q17" s="27">
        <f t="shared" si="3"/>
        <v>9.8192479199782517E-6</v>
      </c>
      <c r="S17" s="28">
        <v>43918</v>
      </c>
      <c r="T17" s="26">
        <v>13</v>
      </c>
      <c r="U17" s="26">
        <v>11040.08</v>
      </c>
      <c r="V17" s="26">
        <v>12201.330986999999</v>
      </c>
      <c r="W17" s="27">
        <f t="shared" si="4"/>
        <v>0.10518501559771301</v>
      </c>
      <c r="Y17" s="26">
        <v>14</v>
      </c>
      <c r="Z17" s="26">
        <v>6636.0208640000001</v>
      </c>
      <c r="AA17" s="26">
        <v>6638</v>
      </c>
      <c r="AB17" s="27">
        <f t="shared" si="0"/>
        <v>2.9824137695778132E-4</v>
      </c>
      <c r="AD17" s="28">
        <v>43918</v>
      </c>
      <c r="AE17" s="26">
        <v>13</v>
      </c>
      <c r="AF17" s="26">
        <v>7029.17</v>
      </c>
      <c r="AG17" s="26">
        <v>5815.1662340000003</v>
      </c>
      <c r="AH17" s="27">
        <f t="shared" si="5"/>
        <v>0.17270940466655377</v>
      </c>
    </row>
    <row r="18" spans="2:34" x14ac:dyDescent="0.25">
      <c r="B18" s="26">
        <v>14</v>
      </c>
      <c r="C18" s="26">
        <v>7271.0090570000002</v>
      </c>
      <c r="D18" s="26">
        <v>7271</v>
      </c>
      <c r="E18" s="31">
        <f t="shared" si="1"/>
        <v>1.2456333379468713E-6</v>
      </c>
      <c r="F18" s="34"/>
      <c r="G18" s="33"/>
      <c r="H18" s="28">
        <v>43918</v>
      </c>
      <c r="I18" s="26">
        <v>14</v>
      </c>
      <c r="J18" s="26">
        <v>6777.67</v>
      </c>
      <c r="K18" s="26">
        <v>7117.8034680000001</v>
      </c>
      <c r="L18" s="27">
        <f t="shared" si="2"/>
        <v>5.0184424440847662E-2</v>
      </c>
      <c r="N18" s="26">
        <v>14</v>
      </c>
      <c r="O18" s="26">
        <v>12903.125553</v>
      </c>
      <c r="P18" s="26">
        <v>12903</v>
      </c>
      <c r="Q18" s="27">
        <f t="shared" si="3"/>
        <v>9.7304331019752853E-6</v>
      </c>
      <c r="S18" s="28">
        <v>43918</v>
      </c>
      <c r="T18" s="26">
        <v>14</v>
      </c>
      <c r="U18" s="26">
        <v>11239.58</v>
      </c>
      <c r="V18" s="26">
        <v>12220.980658</v>
      </c>
      <c r="W18" s="27">
        <f t="shared" si="4"/>
        <v>8.7316488516474861E-2</v>
      </c>
      <c r="Y18" s="26">
        <v>15</v>
      </c>
      <c r="Z18" s="26">
        <v>6636.0149469999997</v>
      </c>
      <c r="AA18" s="26">
        <v>6638</v>
      </c>
      <c r="AB18" s="27">
        <f t="shared" si="0"/>
        <v>2.9913329247363053E-4</v>
      </c>
      <c r="AD18" s="28">
        <v>43918</v>
      </c>
      <c r="AE18" s="26">
        <v>14</v>
      </c>
      <c r="AF18" s="26">
        <v>7159.42</v>
      </c>
      <c r="AG18" s="26">
        <v>5730.7951119999998</v>
      </c>
      <c r="AH18" s="27">
        <f t="shared" si="5"/>
        <v>0.19954477988440408</v>
      </c>
    </row>
    <row r="19" spans="2:34" x14ac:dyDescent="0.25">
      <c r="B19" s="26">
        <v>15</v>
      </c>
      <c r="C19" s="26">
        <v>7271.0095840000004</v>
      </c>
      <c r="D19" s="26">
        <v>7271</v>
      </c>
      <c r="E19" s="31">
        <f t="shared" si="1"/>
        <v>1.3181130518992E-6</v>
      </c>
      <c r="F19" s="34"/>
      <c r="G19" s="33"/>
      <c r="H19" s="28">
        <v>43918</v>
      </c>
      <c r="I19" s="26">
        <v>15</v>
      </c>
      <c r="J19" s="26">
        <v>6767.5</v>
      </c>
      <c r="K19" s="26">
        <v>7112.3884470000003</v>
      </c>
      <c r="L19" s="27">
        <f t="shared" si="2"/>
        <v>5.0962459844846736E-2</v>
      </c>
      <c r="N19" s="26">
        <v>15</v>
      </c>
      <c r="O19" s="26">
        <v>12903.128683000001</v>
      </c>
      <c r="P19" s="26">
        <v>12903</v>
      </c>
      <c r="Q19" s="27">
        <f t="shared" si="3"/>
        <v>9.973007567564645E-6</v>
      </c>
      <c r="S19" s="28">
        <v>43918</v>
      </c>
      <c r="T19" s="26">
        <v>15</v>
      </c>
      <c r="U19" s="26">
        <v>11017.75</v>
      </c>
      <c r="V19" s="26">
        <v>12240.628065999999</v>
      </c>
      <c r="W19" s="27">
        <f t="shared" si="4"/>
        <v>0.11099163313743725</v>
      </c>
      <c r="Y19" s="26">
        <v>16</v>
      </c>
      <c r="Z19" s="26">
        <v>6636.0045819999996</v>
      </c>
      <c r="AA19" s="26">
        <v>6638</v>
      </c>
      <c r="AB19" s="27">
        <f t="shared" si="0"/>
        <v>3.0069569352211568E-4</v>
      </c>
      <c r="AD19" s="28">
        <v>43918</v>
      </c>
      <c r="AE19" s="26">
        <v>15</v>
      </c>
      <c r="AF19" s="26">
        <v>7267.17</v>
      </c>
      <c r="AG19" s="26">
        <v>5646.3363230000004</v>
      </c>
      <c r="AH19" s="27">
        <f t="shared" si="5"/>
        <v>0.22303505725062159</v>
      </c>
    </row>
    <row r="20" spans="2:34" x14ac:dyDescent="0.25">
      <c r="B20" s="26">
        <v>16</v>
      </c>
      <c r="C20" s="26">
        <v>7271.007415</v>
      </c>
      <c r="D20" s="26">
        <v>7271</v>
      </c>
      <c r="E20" s="31">
        <f t="shared" si="1"/>
        <v>1.0198047036222325E-6</v>
      </c>
      <c r="F20" s="34"/>
      <c r="G20" s="33"/>
      <c r="H20" s="28">
        <v>43918</v>
      </c>
      <c r="I20" s="26">
        <v>16</v>
      </c>
      <c r="J20" s="26">
        <v>6830.42</v>
      </c>
      <c r="K20" s="26">
        <v>7106.9972719999996</v>
      </c>
      <c r="L20" s="27">
        <f t="shared" si="2"/>
        <v>4.0491986144336592E-2</v>
      </c>
      <c r="N20" s="26">
        <v>16</v>
      </c>
      <c r="O20" s="26">
        <v>12903.12622</v>
      </c>
      <c r="P20" s="26">
        <v>12903</v>
      </c>
      <c r="Q20" s="27">
        <f t="shared" si="3"/>
        <v>9.7821254979634707E-6</v>
      </c>
      <c r="S20" s="28">
        <v>43918</v>
      </c>
      <c r="T20" s="26">
        <v>16</v>
      </c>
      <c r="U20" s="26">
        <v>11102.42</v>
      </c>
      <c r="V20" s="26">
        <v>12260.33685</v>
      </c>
      <c r="W20" s="27">
        <f t="shared" si="4"/>
        <v>0.10429409534137599</v>
      </c>
      <c r="Y20" s="26">
        <v>17</v>
      </c>
      <c r="Z20" s="26">
        <v>6635.9975720000002</v>
      </c>
      <c r="AA20" s="26">
        <v>6534.67</v>
      </c>
      <c r="AB20" s="27">
        <f t="shared" si="0"/>
        <v>1.5269380511461124E-2</v>
      </c>
      <c r="AD20" s="28">
        <v>43918</v>
      </c>
      <c r="AE20" s="26">
        <v>16</v>
      </c>
      <c r="AF20" s="26">
        <v>7338.33</v>
      </c>
      <c r="AG20" s="26">
        <v>5563.6461509999999</v>
      </c>
      <c r="AH20" s="27">
        <f t="shared" si="5"/>
        <v>0.2418375637236265</v>
      </c>
    </row>
    <row r="21" spans="2:34" x14ac:dyDescent="0.25">
      <c r="B21" s="26">
        <v>17</v>
      </c>
      <c r="C21" s="26">
        <v>7271.0079589999996</v>
      </c>
      <c r="D21" s="26">
        <v>7141.67</v>
      </c>
      <c r="E21" s="31">
        <f t="shared" si="1"/>
        <v>1.8110324195881284E-2</v>
      </c>
      <c r="F21" s="34"/>
      <c r="G21" s="33"/>
      <c r="H21" s="28">
        <v>43918</v>
      </c>
      <c r="I21" s="26">
        <v>17</v>
      </c>
      <c r="J21" s="26">
        <v>6676.67</v>
      </c>
      <c r="K21" s="26">
        <v>7101.6199909999996</v>
      </c>
      <c r="L21" s="27">
        <f t="shared" si="2"/>
        <v>6.3646996332003755E-2</v>
      </c>
      <c r="N21" s="26">
        <v>17</v>
      </c>
      <c r="O21" s="26">
        <v>12903.126037</v>
      </c>
      <c r="P21" s="26">
        <v>12497.67</v>
      </c>
      <c r="Q21" s="27">
        <f t="shared" si="3"/>
        <v>3.1423085834963227E-2</v>
      </c>
      <c r="S21" s="28">
        <v>43918</v>
      </c>
      <c r="T21" s="26">
        <v>17</v>
      </c>
      <c r="U21" s="26">
        <v>11627.08</v>
      </c>
      <c r="V21" s="26">
        <v>12280.09612</v>
      </c>
      <c r="W21" s="27">
        <f t="shared" si="4"/>
        <v>5.6163380659632535E-2</v>
      </c>
      <c r="Y21" s="26">
        <v>18</v>
      </c>
      <c r="Z21" s="26">
        <v>6568.8137370000004</v>
      </c>
      <c r="AA21" s="26">
        <v>6473.83</v>
      </c>
      <c r="AB21" s="27">
        <f t="shared" si="0"/>
        <v>1.4459800628078072E-2</v>
      </c>
      <c r="AD21" s="28">
        <v>43918</v>
      </c>
      <c r="AE21" s="26">
        <v>17</v>
      </c>
      <c r="AF21" s="26">
        <v>7354.08</v>
      </c>
      <c r="AG21" s="26">
        <v>5481.5579770000004</v>
      </c>
      <c r="AH21" s="27">
        <f t="shared" si="5"/>
        <v>0.25462355903117717</v>
      </c>
    </row>
    <row r="22" spans="2:34" x14ac:dyDescent="0.25">
      <c r="B22" s="26">
        <v>18</v>
      </c>
      <c r="C22" s="26">
        <v>7078.6743669999996</v>
      </c>
      <c r="D22" s="26">
        <v>6984.25</v>
      </c>
      <c r="E22" s="31">
        <f t="shared" si="1"/>
        <v>1.3519614418155081E-2</v>
      </c>
      <c r="F22" s="34"/>
      <c r="G22" s="33"/>
      <c r="H22" s="28">
        <v>43918</v>
      </c>
      <c r="I22" s="26">
        <v>18</v>
      </c>
      <c r="J22" s="26">
        <v>6553.67</v>
      </c>
      <c r="K22" s="26">
        <v>7096.2258659999998</v>
      </c>
      <c r="L22" s="27">
        <f t="shared" si="2"/>
        <v>8.2786570883184488E-2</v>
      </c>
      <c r="N22" s="26">
        <v>18</v>
      </c>
      <c r="O22" s="26">
        <v>12184.642809999999</v>
      </c>
      <c r="P22" s="26">
        <v>11751.25</v>
      </c>
      <c r="Q22" s="27">
        <f t="shared" si="3"/>
        <v>3.5568774297126841E-2</v>
      </c>
      <c r="S22" s="28">
        <v>43918</v>
      </c>
      <c r="T22" s="26">
        <v>18</v>
      </c>
      <c r="U22" s="26">
        <v>11950.83</v>
      </c>
      <c r="V22" s="26">
        <v>12299.868629000001</v>
      </c>
      <c r="W22" s="27">
        <f t="shared" si="4"/>
        <v>2.9206224923289895E-2</v>
      </c>
      <c r="Y22" s="26">
        <v>19</v>
      </c>
      <c r="Z22" s="26">
        <v>6492.151793</v>
      </c>
      <c r="AA22" s="26">
        <v>6738.42</v>
      </c>
      <c r="AB22" s="27">
        <f t="shared" si="0"/>
        <v>3.7933217652971793E-2</v>
      </c>
      <c r="AD22" s="28">
        <v>43918</v>
      </c>
      <c r="AE22" s="26">
        <v>18</v>
      </c>
      <c r="AF22" s="26">
        <v>7222.08</v>
      </c>
      <c r="AG22" s="26">
        <v>5397.7635929999997</v>
      </c>
      <c r="AH22" s="27">
        <f t="shared" si="5"/>
        <v>0.25260263068257349</v>
      </c>
    </row>
    <row r="23" spans="2:34" x14ac:dyDescent="0.25">
      <c r="B23" s="26">
        <v>19</v>
      </c>
      <c r="C23" s="26">
        <v>6890.8994579999999</v>
      </c>
      <c r="D23" s="26">
        <v>7098.17</v>
      </c>
      <c r="E23" s="31">
        <f t="shared" si="1"/>
        <v>2.9200560426138032E-2</v>
      </c>
      <c r="F23" s="34"/>
      <c r="G23" s="33"/>
      <c r="H23" s="28">
        <v>43918</v>
      </c>
      <c r="I23" s="26">
        <v>19</v>
      </c>
      <c r="J23" s="26">
        <v>6581</v>
      </c>
      <c r="K23" s="26">
        <v>7090.839602</v>
      </c>
      <c r="L23" s="27">
        <f t="shared" si="2"/>
        <v>7.7471448412095426E-2</v>
      </c>
      <c r="N23" s="26">
        <v>19</v>
      </c>
      <c r="O23" s="26">
        <v>11214.658598</v>
      </c>
      <c r="P23" s="26">
        <v>11806.08</v>
      </c>
      <c r="Q23" s="27">
        <f t="shared" si="3"/>
        <v>5.2736460662785832E-2</v>
      </c>
      <c r="S23" s="28">
        <v>43918</v>
      </c>
      <c r="T23" s="26">
        <v>19</v>
      </c>
      <c r="U23" s="26">
        <v>12400.67</v>
      </c>
      <c r="V23" s="26">
        <v>12319.720681000001</v>
      </c>
      <c r="W23" s="27">
        <f t="shared" si="4"/>
        <v>6.5278181743405293E-3</v>
      </c>
      <c r="Y23" s="26">
        <v>20</v>
      </c>
      <c r="Z23" s="26">
        <v>6616.9027699999997</v>
      </c>
      <c r="AA23" s="26">
        <v>6901.5</v>
      </c>
      <c r="AB23" s="27">
        <f t="shared" si="0"/>
        <v>4.3010641064626119E-2</v>
      </c>
      <c r="AD23" s="28">
        <v>43918</v>
      </c>
      <c r="AE23" s="26">
        <v>19</v>
      </c>
      <c r="AF23" s="26">
        <v>7059.67</v>
      </c>
      <c r="AG23" s="26">
        <v>5312.7608639999999</v>
      </c>
      <c r="AH23" s="27">
        <f t="shared" si="5"/>
        <v>0.24744912099290764</v>
      </c>
    </row>
    <row r="24" spans="2:34" x14ac:dyDescent="0.25">
      <c r="B24" s="26">
        <v>20</v>
      </c>
      <c r="C24" s="26">
        <v>7099.1415779999998</v>
      </c>
      <c r="D24" s="26">
        <v>7151.67</v>
      </c>
      <c r="E24" s="31">
        <f t="shared" si="1"/>
        <v>7.3449169215022954E-3</v>
      </c>
      <c r="F24" s="34"/>
      <c r="G24" s="33"/>
      <c r="H24" s="28">
        <v>43918</v>
      </c>
      <c r="I24" s="26">
        <v>20</v>
      </c>
      <c r="J24" s="26">
        <v>6573.75</v>
      </c>
      <c r="K24" s="26">
        <v>7085.4574849999999</v>
      </c>
      <c r="L24" s="27">
        <f t="shared" si="2"/>
        <v>7.7841032135386942E-2</v>
      </c>
      <c r="N24" s="26">
        <v>20</v>
      </c>
      <c r="O24" s="26">
        <v>11859.526647000001</v>
      </c>
      <c r="P24" s="26">
        <v>11698.33</v>
      </c>
      <c r="Q24" s="27">
        <f t="shared" si="3"/>
        <v>1.3592165336613764E-2</v>
      </c>
      <c r="S24" s="28">
        <v>43918</v>
      </c>
      <c r="T24" s="26">
        <v>20</v>
      </c>
      <c r="U24" s="26">
        <v>12605.75</v>
      </c>
      <c r="V24" s="26">
        <v>12339.677218000001</v>
      </c>
      <c r="W24" s="27">
        <f t="shared" si="4"/>
        <v>2.1107255181167267E-2</v>
      </c>
      <c r="Y24" s="26">
        <v>21</v>
      </c>
      <c r="Z24" s="26">
        <v>6789.8794209999996</v>
      </c>
      <c r="AA24" s="26">
        <v>6999</v>
      </c>
      <c r="AB24" s="27">
        <f t="shared" si="0"/>
        <v>3.0798864903730721E-2</v>
      </c>
      <c r="AD24" s="28">
        <v>43918</v>
      </c>
      <c r="AE24" s="26">
        <v>20</v>
      </c>
      <c r="AF24" s="26">
        <v>7061.58</v>
      </c>
      <c r="AG24" s="26">
        <v>5227.6138110000002</v>
      </c>
      <c r="AH24" s="27">
        <f t="shared" si="5"/>
        <v>0.25971045984043228</v>
      </c>
    </row>
    <row r="25" spans="2:34" x14ac:dyDescent="0.25">
      <c r="B25" s="26">
        <v>21</v>
      </c>
      <c r="C25" s="26">
        <v>7150.8287220000002</v>
      </c>
      <c r="D25" s="26">
        <v>7423.17</v>
      </c>
      <c r="E25" s="31">
        <f t="shared" si="1"/>
        <v>3.6688002295515242E-2</v>
      </c>
      <c r="F25" s="34"/>
      <c r="G25" s="33"/>
      <c r="H25" s="28">
        <v>43918</v>
      </c>
      <c r="I25" s="26">
        <v>21</v>
      </c>
      <c r="J25" s="26">
        <v>6493</v>
      </c>
      <c r="K25" s="26">
        <v>7080.0711700000002</v>
      </c>
      <c r="L25" s="27">
        <f t="shared" si="2"/>
        <v>9.041601262898509E-2</v>
      </c>
      <c r="N25" s="26">
        <v>21</v>
      </c>
      <c r="O25" s="26">
        <v>11480.883335</v>
      </c>
      <c r="P25" s="26">
        <v>11442.58</v>
      </c>
      <c r="Q25" s="27">
        <f t="shared" si="3"/>
        <v>3.3362707278133414E-3</v>
      </c>
      <c r="S25" s="28">
        <v>43918</v>
      </c>
      <c r="T25" s="26">
        <v>21</v>
      </c>
      <c r="U25" s="26">
        <v>12494.92</v>
      </c>
      <c r="V25" s="26">
        <v>12359.711942</v>
      </c>
      <c r="W25" s="27">
        <f t="shared" si="4"/>
        <v>1.0821042311595445E-2</v>
      </c>
      <c r="Y25" s="26">
        <v>22</v>
      </c>
      <c r="Z25" s="26">
        <v>6967.1091310000002</v>
      </c>
      <c r="AA25" s="26">
        <v>7195</v>
      </c>
      <c r="AB25" s="27">
        <f t="shared" si="0"/>
        <v>3.2709530554933378E-2</v>
      </c>
      <c r="AD25" s="28">
        <v>43918</v>
      </c>
      <c r="AE25" s="26">
        <v>21</v>
      </c>
      <c r="AF25" s="26">
        <v>7021.75</v>
      </c>
      <c r="AG25" s="26">
        <v>5142.9905330000001</v>
      </c>
      <c r="AH25" s="27">
        <f t="shared" si="5"/>
        <v>0.26756285356214615</v>
      </c>
    </row>
    <row r="26" spans="2:34" x14ac:dyDescent="0.25">
      <c r="B26" s="26">
        <v>22</v>
      </c>
      <c r="C26" s="26">
        <v>7585.0813639999997</v>
      </c>
      <c r="D26" s="26">
        <v>7533.25</v>
      </c>
      <c r="E26" s="31">
        <f t="shared" si="1"/>
        <v>6.8803456675405258E-3</v>
      </c>
      <c r="F26" s="34"/>
      <c r="G26" s="33"/>
      <c r="H26" s="28">
        <v>43918</v>
      </c>
      <c r="I26" s="26">
        <v>22</v>
      </c>
      <c r="J26" s="26">
        <v>6445.67</v>
      </c>
      <c r="K26" s="26">
        <v>7074.6878349999997</v>
      </c>
      <c r="L26" s="27">
        <f t="shared" si="2"/>
        <v>9.7587657295517716E-2</v>
      </c>
      <c r="N26" s="26">
        <v>22</v>
      </c>
      <c r="O26" s="26">
        <v>11227.351411</v>
      </c>
      <c r="P26" s="26">
        <v>11203.83</v>
      </c>
      <c r="Q26" s="27">
        <f t="shared" si="3"/>
        <v>2.0950097791501039E-3</v>
      </c>
      <c r="S26" s="28">
        <v>43918</v>
      </c>
      <c r="T26" s="26">
        <v>22</v>
      </c>
      <c r="U26" s="26">
        <v>12311.83</v>
      </c>
      <c r="V26" s="26">
        <v>12379.817743</v>
      </c>
      <c r="W26" s="27">
        <f t="shared" si="4"/>
        <v>5.5221476417396664E-3</v>
      </c>
      <c r="Y26" s="26">
        <v>23</v>
      </c>
      <c r="Z26" s="26">
        <v>7212.9031349999996</v>
      </c>
      <c r="AA26" s="26">
        <v>7321.75</v>
      </c>
      <c r="AB26" s="27">
        <f t="shared" si="0"/>
        <v>1.5090576285688667E-2</v>
      </c>
      <c r="AD26" s="28">
        <v>43918</v>
      </c>
      <c r="AE26" s="26">
        <v>22</v>
      </c>
      <c r="AF26" s="26">
        <v>6973.08</v>
      </c>
      <c r="AG26" s="26">
        <v>5057.9939359999998</v>
      </c>
      <c r="AH26" s="27">
        <f t="shared" si="5"/>
        <v>0.27463991005409377</v>
      </c>
    </row>
    <row r="27" spans="2:34" x14ac:dyDescent="0.25">
      <c r="B27" s="26">
        <v>23</v>
      </c>
      <c r="C27" s="26">
        <v>7618.1163020000004</v>
      </c>
      <c r="D27" s="26">
        <v>7586.08</v>
      </c>
      <c r="E27" s="31">
        <f t="shared" si="1"/>
        <v>4.2230377217219476E-3</v>
      </c>
      <c r="F27" s="34"/>
      <c r="G27" s="33"/>
      <c r="H27" s="28">
        <v>43918</v>
      </c>
      <c r="I27" s="26">
        <v>23</v>
      </c>
      <c r="J27" s="26">
        <v>6364.67</v>
      </c>
      <c r="K27" s="26">
        <v>7069.3063469999997</v>
      </c>
      <c r="L27" s="27">
        <f t="shared" si="2"/>
        <v>0.11071058625191874</v>
      </c>
      <c r="N27" s="26">
        <v>23</v>
      </c>
      <c r="O27" s="26">
        <v>10958.318918999999</v>
      </c>
      <c r="P27" s="26">
        <v>11350.67</v>
      </c>
      <c r="Q27" s="27">
        <f t="shared" si="3"/>
        <v>3.5803948023425902E-2</v>
      </c>
      <c r="S27" s="28">
        <v>43918</v>
      </c>
      <c r="T27" s="26">
        <v>23</v>
      </c>
      <c r="U27" s="26">
        <v>11832.08</v>
      </c>
      <c r="V27" s="26">
        <v>12399.995177999999</v>
      </c>
      <c r="W27" s="27">
        <f t="shared" si="4"/>
        <v>4.7997915666560677E-2</v>
      </c>
      <c r="Y27" s="26">
        <v>24</v>
      </c>
      <c r="Z27" s="26">
        <v>7453.8034470000002</v>
      </c>
      <c r="AA27" s="26">
        <v>7395.25</v>
      </c>
      <c r="AB27" s="27">
        <f t="shared" si="0"/>
        <v>7.8555126139751869E-3</v>
      </c>
      <c r="AD27" s="28">
        <v>43918</v>
      </c>
      <c r="AE27" s="26">
        <v>23</v>
      </c>
      <c r="AF27" s="26">
        <v>6914.83</v>
      </c>
      <c r="AG27" s="26">
        <v>4972.1228890000002</v>
      </c>
      <c r="AH27" s="27">
        <f t="shared" si="5"/>
        <v>0.28094792077317876</v>
      </c>
    </row>
    <row r="28" spans="2:34" x14ac:dyDescent="0.25">
      <c r="B28" s="26">
        <v>24</v>
      </c>
      <c r="C28" s="26">
        <v>7694.8108679999996</v>
      </c>
      <c r="D28" s="26">
        <v>7634</v>
      </c>
      <c r="E28" s="31">
        <f t="shared" si="1"/>
        <v>7.9657935551479663E-3</v>
      </c>
      <c r="F28" s="34"/>
      <c r="G28" s="33"/>
      <c r="H28" s="28">
        <v>43919</v>
      </c>
      <c r="I28" s="26">
        <v>0</v>
      </c>
      <c r="J28" s="26">
        <v>6175</v>
      </c>
      <c r="K28" s="26">
        <v>7063.924422</v>
      </c>
      <c r="L28" s="27">
        <f t="shared" si="2"/>
        <v>0.14395537198380567</v>
      </c>
      <c r="N28" s="26">
        <v>24</v>
      </c>
      <c r="O28" s="26">
        <v>11369.368435</v>
      </c>
      <c r="P28" s="26">
        <v>11305.75</v>
      </c>
      <c r="Q28" s="27">
        <f t="shared" si="3"/>
        <v>5.5955997348238204E-3</v>
      </c>
      <c r="S28" s="28">
        <v>43919</v>
      </c>
      <c r="T28" s="26">
        <v>0</v>
      </c>
      <c r="U28" s="26">
        <v>10891.33</v>
      </c>
      <c r="V28" s="26">
        <v>12420.240486000001</v>
      </c>
      <c r="W28" s="27">
        <f t="shared" si="4"/>
        <v>0.14037867606619217</v>
      </c>
      <c r="Y28" s="26">
        <v>25</v>
      </c>
      <c r="Z28" s="26">
        <v>7601.4473619999999</v>
      </c>
      <c r="AA28" s="26">
        <v>7412</v>
      </c>
      <c r="AB28" s="27">
        <f t="shared" si="0"/>
        <v>2.4922538166488706E-2</v>
      </c>
      <c r="AD28" s="28">
        <v>43919</v>
      </c>
      <c r="AE28" s="26">
        <v>0</v>
      </c>
      <c r="AF28" s="26">
        <v>575.33000000000004</v>
      </c>
      <c r="AG28" s="26">
        <v>4885.6345449999999</v>
      </c>
      <c r="AH28" s="46">
        <f t="shared" si="5"/>
        <v>7.4918821285175454</v>
      </c>
    </row>
    <row r="29" spans="2:34" x14ac:dyDescent="0.25">
      <c r="B29" s="26">
        <v>25</v>
      </c>
      <c r="C29" s="26">
        <v>7702.8677310000003</v>
      </c>
      <c r="D29" s="26">
        <v>7384</v>
      </c>
      <c r="E29" s="31">
        <f t="shared" si="1"/>
        <v>4.3183603873239475E-2</v>
      </c>
      <c r="F29" s="34"/>
      <c r="G29" s="33"/>
      <c r="H29" s="28">
        <v>43919</v>
      </c>
      <c r="I29" s="26">
        <v>1</v>
      </c>
      <c r="J29" s="26">
        <v>6032.58</v>
      </c>
      <c r="K29" s="26">
        <v>7058.544073</v>
      </c>
      <c r="L29" s="27">
        <f t="shared" si="2"/>
        <v>0.17007052919314788</v>
      </c>
      <c r="N29" s="26">
        <v>25</v>
      </c>
      <c r="O29" s="26">
        <v>11213.013521000001</v>
      </c>
      <c r="P29" s="26">
        <v>11231.83</v>
      </c>
      <c r="Q29" s="27">
        <f t="shared" si="3"/>
        <v>1.678092955543058E-3</v>
      </c>
      <c r="S29" s="28">
        <v>43919</v>
      </c>
      <c r="T29" s="26">
        <v>1</v>
      </c>
      <c r="U29" s="26">
        <v>10638.92</v>
      </c>
      <c r="V29" s="26">
        <v>12440.556664</v>
      </c>
      <c r="W29" s="27">
        <f t="shared" si="4"/>
        <v>0.16934394318220267</v>
      </c>
      <c r="Y29" s="26">
        <v>26</v>
      </c>
      <c r="Z29" s="26">
        <v>7600.5642600000001</v>
      </c>
      <c r="AA29" s="26">
        <v>7293.83</v>
      </c>
      <c r="AB29" s="27">
        <f t="shared" si="0"/>
        <v>4.0356774774508671E-2</v>
      </c>
      <c r="AD29" s="28">
        <v>43919</v>
      </c>
      <c r="AE29" s="26">
        <v>1</v>
      </c>
      <c r="AF29" s="26">
        <v>5642.5</v>
      </c>
      <c r="AG29" s="26">
        <v>4799.0399399999997</v>
      </c>
      <c r="AH29" s="27">
        <f t="shared" si="5"/>
        <v>0.1494833956579531</v>
      </c>
    </row>
    <row r="30" spans="2:34" x14ac:dyDescent="0.25">
      <c r="B30" s="26">
        <v>26</v>
      </c>
      <c r="C30" s="26">
        <v>7301.9158829999997</v>
      </c>
      <c r="D30" s="26">
        <v>7085.92</v>
      </c>
      <c r="E30" s="31">
        <f t="shared" si="1"/>
        <v>3.0482404966468656E-2</v>
      </c>
      <c r="F30" s="34"/>
      <c r="G30" s="33"/>
      <c r="H30" s="28">
        <v>43919</v>
      </c>
      <c r="I30" s="26">
        <v>2</v>
      </c>
      <c r="J30" s="26">
        <v>5898.27</v>
      </c>
      <c r="K30" s="26">
        <v>7053.1649230000003</v>
      </c>
      <c r="L30" s="27">
        <f t="shared" si="2"/>
        <v>0.19580231542469229</v>
      </c>
      <c r="N30" s="26">
        <v>26</v>
      </c>
      <c r="O30" s="26">
        <v>11174.437796</v>
      </c>
      <c r="P30" s="26">
        <v>11502.75</v>
      </c>
      <c r="Q30" s="27">
        <f t="shared" si="3"/>
        <v>2.9380646256541194E-2</v>
      </c>
      <c r="S30" s="28">
        <v>43919</v>
      </c>
      <c r="T30" s="26">
        <v>2</v>
      </c>
      <c r="U30" s="26">
        <v>10644.36</v>
      </c>
      <c r="V30" s="26">
        <v>12460.947925</v>
      </c>
      <c r="W30" s="27">
        <f t="shared" si="4"/>
        <v>0.17066201490742514</v>
      </c>
      <c r="Y30" s="26">
        <v>27</v>
      </c>
      <c r="Z30" s="26">
        <v>7509.2190870000004</v>
      </c>
      <c r="AA30" s="26">
        <v>7082.25</v>
      </c>
      <c r="AB30" s="27">
        <f t="shared" si="0"/>
        <v>5.6859319464945636E-2</v>
      </c>
      <c r="AD30" s="28">
        <v>43919</v>
      </c>
      <c r="AE30" s="26">
        <v>2</v>
      </c>
      <c r="AF30" s="26">
        <v>6595.55</v>
      </c>
      <c r="AG30" s="26">
        <v>4712.2800040000002</v>
      </c>
      <c r="AH30" s="27">
        <f t="shared" si="5"/>
        <v>0.28553645958259732</v>
      </c>
    </row>
    <row r="31" spans="2:34" x14ac:dyDescent="0.25">
      <c r="B31" s="26">
        <v>27</v>
      </c>
      <c r="C31" s="26">
        <v>6943.9339840000002</v>
      </c>
      <c r="D31" s="26">
        <v>7242.33</v>
      </c>
      <c r="E31" s="31">
        <f t="shared" si="1"/>
        <v>4.1201659686868689E-2</v>
      </c>
      <c r="F31" s="34"/>
      <c r="G31" s="33"/>
      <c r="H31" s="28">
        <v>43919</v>
      </c>
      <c r="I31" s="26">
        <v>3</v>
      </c>
      <c r="J31" s="26">
        <v>5773.5</v>
      </c>
      <c r="K31" s="26">
        <v>7047.7863509999997</v>
      </c>
      <c r="L31" s="27">
        <f t="shared" si="2"/>
        <v>0.22071297323980249</v>
      </c>
      <c r="N31" s="26">
        <v>27</v>
      </c>
      <c r="O31" s="26">
        <v>11680.991769</v>
      </c>
      <c r="P31" s="26">
        <v>12031.92</v>
      </c>
      <c r="Q31" s="27">
        <f t="shared" si="3"/>
        <v>3.0042674281418703E-2</v>
      </c>
      <c r="S31" s="28">
        <v>43919</v>
      </c>
      <c r="T31" s="26">
        <v>3</v>
      </c>
      <c r="U31" s="26">
        <v>10439</v>
      </c>
      <c r="V31" s="26">
        <v>12481.413627</v>
      </c>
      <c r="W31" s="27">
        <f t="shared" si="4"/>
        <v>0.19565222981128461</v>
      </c>
      <c r="Y31" s="26">
        <v>28</v>
      </c>
      <c r="Z31" s="26">
        <v>7295.440689</v>
      </c>
      <c r="AA31" s="26">
        <v>7037.42</v>
      </c>
      <c r="AB31" s="27">
        <f t="shared" si="0"/>
        <v>3.5367389030938355E-2</v>
      </c>
      <c r="AD31" s="28">
        <v>43919</v>
      </c>
      <c r="AE31" s="26">
        <v>3</v>
      </c>
      <c r="AF31" s="26">
        <v>6424</v>
      </c>
      <c r="AG31" s="26">
        <v>4625.0903699999999</v>
      </c>
      <c r="AH31" s="27">
        <f t="shared" si="5"/>
        <v>0.2800295189912827</v>
      </c>
    </row>
    <row r="32" spans="2:34" x14ac:dyDescent="0.25">
      <c r="B32" s="26">
        <v>28</v>
      </c>
      <c r="C32" s="26">
        <v>7224.7233260000003</v>
      </c>
      <c r="D32" s="26">
        <v>7267.92</v>
      </c>
      <c r="E32" s="31">
        <f t="shared" si="1"/>
        <v>5.9434713095355756E-3</v>
      </c>
      <c r="F32" s="34"/>
      <c r="G32" s="33"/>
      <c r="H32" s="28">
        <v>43919</v>
      </c>
      <c r="I32" s="26">
        <v>4</v>
      </c>
      <c r="J32" s="26">
        <v>5641.25</v>
      </c>
      <c r="K32" s="26">
        <v>7042.4089320000003</v>
      </c>
      <c r="L32" s="27">
        <f t="shared" si="2"/>
        <v>0.24837738657212502</v>
      </c>
      <c r="N32" s="26">
        <v>28</v>
      </c>
      <c r="O32" s="26">
        <v>12381.366207999999</v>
      </c>
      <c r="P32" s="26">
        <v>11851.92</v>
      </c>
      <c r="Q32" s="27">
        <f t="shared" si="3"/>
        <v>4.2761533671292845E-2</v>
      </c>
      <c r="S32" s="28">
        <v>43919</v>
      </c>
      <c r="T32" s="26">
        <v>4</v>
      </c>
      <c r="U32" s="26">
        <v>10283.25</v>
      </c>
      <c r="V32" s="26">
        <v>12501.952491</v>
      </c>
      <c r="W32" s="27">
        <f t="shared" si="4"/>
        <v>0.21575887885639267</v>
      </c>
      <c r="Y32" s="26">
        <v>29</v>
      </c>
      <c r="Z32" s="26">
        <v>7092.8847509999996</v>
      </c>
      <c r="AA32" s="26">
        <v>7009.17</v>
      </c>
      <c r="AB32" s="27">
        <f t="shared" si="0"/>
        <v>1.1802637987061174E-2</v>
      </c>
      <c r="AD32" s="28">
        <v>43919</v>
      </c>
      <c r="AE32" s="26">
        <v>4</v>
      </c>
      <c r="AF32" s="26">
        <v>6296.33</v>
      </c>
      <c r="AG32" s="26">
        <v>4537.3210959999997</v>
      </c>
      <c r="AH32" s="27">
        <f t="shared" si="5"/>
        <v>0.27937050694610993</v>
      </c>
    </row>
    <row r="33" spans="1:34" x14ac:dyDescent="0.25">
      <c r="B33" s="26">
        <v>29</v>
      </c>
      <c r="C33" s="26">
        <v>7228.9706779999997</v>
      </c>
      <c r="D33" s="26">
        <v>7223.33</v>
      </c>
      <c r="E33" s="31">
        <f t="shared" si="1"/>
        <v>7.8089717623308814E-4</v>
      </c>
      <c r="F33" s="34"/>
      <c r="G33" s="33"/>
      <c r="H33" s="28">
        <v>43919</v>
      </c>
      <c r="I33" s="26">
        <v>5</v>
      </c>
      <c r="J33" s="26">
        <v>5612.92</v>
      </c>
      <c r="K33" s="26">
        <v>7037.0325519999997</v>
      </c>
      <c r="L33" s="27">
        <f t="shared" si="2"/>
        <v>0.25372044354809964</v>
      </c>
      <c r="N33" s="26">
        <v>29</v>
      </c>
      <c r="O33" s="26">
        <v>11714.438118</v>
      </c>
      <c r="P33" s="26">
        <v>11935.42</v>
      </c>
      <c r="Q33" s="27">
        <f t="shared" si="3"/>
        <v>1.8864061577178588E-2</v>
      </c>
      <c r="S33" s="28">
        <v>43919</v>
      </c>
      <c r="T33" s="26">
        <v>5</v>
      </c>
      <c r="U33" s="26">
        <v>10292.25</v>
      </c>
      <c r="V33" s="26">
        <v>12522.564272</v>
      </c>
      <c r="W33" s="27">
        <f t="shared" si="4"/>
        <v>0.21669841599261577</v>
      </c>
      <c r="Y33" s="26">
        <v>30</v>
      </c>
      <c r="Z33" s="26">
        <v>6945.9875760000004</v>
      </c>
      <c r="AA33" s="26">
        <v>6976.5</v>
      </c>
      <c r="AB33" s="27">
        <f t="shared" si="0"/>
        <v>4.3928129248930799E-3</v>
      </c>
      <c r="AD33" s="28">
        <v>43919</v>
      </c>
      <c r="AE33" s="26">
        <v>5</v>
      </c>
      <c r="AF33" s="26">
        <v>6195.17</v>
      </c>
      <c r="AG33" s="26">
        <v>4449.156954</v>
      </c>
      <c r="AH33" s="27">
        <f t="shared" si="5"/>
        <v>0.28183456563742398</v>
      </c>
    </row>
    <row r="34" spans="1:34" x14ac:dyDescent="0.25">
      <c r="B34" s="26">
        <v>30</v>
      </c>
      <c r="C34" s="26">
        <v>7235.1199580000002</v>
      </c>
      <c r="D34" s="26">
        <v>7181.75</v>
      </c>
      <c r="E34" s="31">
        <f t="shared" si="1"/>
        <v>7.431330525289828E-3</v>
      </c>
      <c r="F34" s="34"/>
      <c r="G34" s="33"/>
      <c r="H34" s="28">
        <v>43919</v>
      </c>
      <c r="I34" s="26">
        <v>6</v>
      </c>
      <c r="J34" s="26">
        <v>5417.17</v>
      </c>
      <c r="K34" s="26">
        <v>7031.6570410000004</v>
      </c>
      <c r="L34" s="27">
        <f t="shared" si="2"/>
        <v>0.29803145203122672</v>
      </c>
      <c r="N34" s="26">
        <v>30</v>
      </c>
      <c r="O34" s="26">
        <v>12102.268690000001</v>
      </c>
      <c r="P34" s="26">
        <v>12000.42</v>
      </c>
      <c r="Q34" s="27">
        <f t="shared" si="3"/>
        <v>8.4156692111915683E-3</v>
      </c>
      <c r="S34" s="28">
        <v>43919</v>
      </c>
      <c r="T34" s="26">
        <v>6</v>
      </c>
      <c r="U34" s="26">
        <v>10125.67</v>
      </c>
      <c r="V34" s="26">
        <v>12543.248647</v>
      </c>
      <c r="W34" s="27">
        <f t="shared" si="4"/>
        <v>0.23875740044856295</v>
      </c>
      <c r="X34" s="1">
        <v>43917</v>
      </c>
      <c r="Y34" s="37">
        <v>31</v>
      </c>
      <c r="Z34" s="37">
        <v>6850.357892</v>
      </c>
      <c r="AA34" s="37">
        <v>6945.58</v>
      </c>
      <c r="AB34" s="27">
        <f t="shared" si="0"/>
        <v>1.3900311414561628E-2</v>
      </c>
      <c r="AD34" s="28">
        <v>43919</v>
      </c>
      <c r="AE34" s="26">
        <v>6</v>
      </c>
      <c r="AF34" s="26">
        <v>6099.5</v>
      </c>
      <c r="AG34" s="26">
        <v>4360.7255640000003</v>
      </c>
      <c r="AH34" s="27">
        <f t="shared" si="5"/>
        <v>0.28506835576686607</v>
      </c>
    </row>
    <row r="35" spans="1:34" x14ac:dyDescent="0.25">
      <c r="A35" s="1">
        <v>43917</v>
      </c>
      <c r="B35" s="26">
        <v>31</v>
      </c>
      <c r="C35" s="26">
        <v>7127.4841310000002</v>
      </c>
      <c r="D35" s="26">
        <v>7204.67</v>
      </c>
      <c r="E35" s="27">
        <f t="shared" si="1"/>
        <v>1.0713310810904582E-2</v>
      </c>
      <c r="F35" s="34"/>
      <c r="G35" s="33"/>
      <c r="H35" s="28">
        <v>43919</v>
      </c>
      <c r="I35" s="26">
        <v>7</v>
      </c>
      <c r="J35" s="26">
        <v>5338</v>
      </c>
      <c r="K35" s="26">
        <v>7026.2825629999998</v>
      </c>
      <c r="L35" s="27">
        <f t="shared" si="2"/>
        <v>0.31627623885350314</v>
      </c>
      <c r="M35" s="1">
        <v>43917</v>
      </c>
      <c r="N35" s="26">
        <v>31</v>
      </c>
      <c r="O35" s="26">
        <v>12032.167211</v>
      </c>
      <c r="P35" s="26">
        <v>11921.92</v>
      </c>
      <c r="Q35" s="27">
        <f t="shared" si="3"/>
        <v>9.1627060251631247E-3</v>
      </c>
      <c r="S35" s="28">
        <v>43919</v>
      </c>
      <c r="T35" s="26">
        <v>7</v>
      </c>
      <c r="U35" s="26">
        <v>9786.42</v>
      </c>
      <c r="V35" s="26">
        <v>12564.005639999999</v>
      </c>
      <c r="W35" s="27">
        <f t="shared" si="4"/>
        <v>0.28382040010545218</v>
      </c>
      <c r="Y35" s="36"/>
      <c r="Z35" s="36"/>
      <c r="AA35" s="36"/>
      <c r="AB35" s="40">
        <f>AVERAGE(AB3:AB34)</f>
        <v>1.9136463140699177E-2</v>
      </c>
      <c r="AD35" s="28">
        <v>43919</v>
      </c>
      <c r="AE35" s="26">
        <v>7</v>
      </c>
      <c r="AF35" s="26">
        <v>6049</v>
      </c>
      <c r="AG35" s="26">
        <v>4271.9732389999999</v>
      </c>
      <c r="AH35" s="27">
        <f t="shared" si="5"/>
        <v>0.29377198892378908</v>
      </c>
    </row>
    <row r="36" spans="1:34" x14ac:dyDescent="0.25">
      <c r="B36" s="33"/>
      <c r="C36" s="33"/>
      <c r="D36" s="33"/>
      <c r="E36" s="45">
        <f>AVERAGE(E4:E35)</f>
        <v>1.1587289474867042E-2</v>
      </c>
      <c r="F36" s="33"/>
      <c r="G36" s="33"/>
      <c r="H36" s="28">
        <v>43919</v>
      </c>
      <c r="I36" s="26">
        <v>8</v>
      </c>
      <c r="J36" s="26">
        <v>5276.75</v>
      </c>
      <c r="K36" s="26">
        <v>7020.9090800000004</v>
      </c>
      <c r="L36" s="27">
        <f t="shared" si="2"/>
        <v>0.33053661439332932</v>
      </c>
      <c r="Q36" s="40">
        <f>AVERAGE(Q4:Q35)</f>
        <v>1.2113738006461617E-2</v>
      </c>
      <c r="S36" s="28">
        <v>43919</v>
      </c>
      <c r="T36" s="26">
        <v>8</v>
      </c>
      <c r="U36" s="26">
        <v>9115.67</v>
      </c>
      <c r="V36" s="26">
        <v>12584.835641</v>
      </c>
      <c r="W36" s="27">
        <f t="shared" si="4"/>
        <v>0.38057165748650396</v>
      </c>
      <c r="Y36" s="33"/>
      <c r="Z36" s="33"/>
      <c r="AA36" s="33"/>
      <c r="AB36" s="41"/>
      <c r="AD36" s="28">
        <v>43919</v>
      </c>
      <c r="AE36" s="26">
        <v>8</v>
      </c>
      <c r="AF36" s="26">
        <v>6035.58</v>
      </c>
      <c r="AG36" s="26">
        <v>4182.7851460000002</v>
      </c>
      <c r="AH36" s="27">
        <f t="shared" si="5"/>
        <v>0.30697875829663424</v>
      </c>
    </row>
    <row r="37" spans="1:34" x14ac:dyDescent="0.25">
      <c r="B37" s="33"/>
      <c r="C37" s="33"/>
      <c r="D37" s="33"/>
      <c r="E37" s="33"/>
      <c r="F37" s="33"/>
      <c r="G37" s="33"/>
      <c r="H37" s="28">
        <v>43919</v>
      </c>
      <c r="I37" s="26">
        <v>9</v>
      </c>
      <c r="J37" s="26">
        <v>5409.75</v>
      </c>
      <c r="K37" s="26">
        <v>7015.5365469999997</v>
      </c>
      <c r="L37" s="27">
        <f t="shared" si="2"/>
        <v>0.29683193252922957</v>
      </c>
      <c r="N37" s="33"/>
      <c r="O37" s="33"/>
      <c r="P37" s="33"/>
      <c r="Q37" s="41"/>
      <c r="S37" s="28">
        <v>43919</v>
      </c>
      <c r="T37" s="26">
        <v>9</v>
      </c>
      <c r="U37" s="26">
        <v>8728.17</v>
      </c>
      <c r="V37" s="26">
        <v>12605.738776</v>
      </c>
      <c r="W37" s="27">
        <f t="shared" si="4"/>
        <v>0.44425908019665061</v>
      </c>
      <c r="AB37" s="41"/>
      <c r="AD37" s="28">
        <v>43919</v>
      </c>
      <c r="AE37" s="26">
        <v>9</v>
      </c>
      <c r="AF37" s="26">
        <v>6178.92</v>
      </c>
      <c r="AG37" s="26">
        <v>4093.1645400000002</v>
      </c>
      <c r="AH37" s="27">
        <f t="shared" si="5"/>
        <v>0.33755987454118191</v>
      </c>
    </row>
    <row r="38" spans="1:34" x14ac:dyDescent="0.25">
      <c r="B38" s="33"/>
      <c r="C38" s="33"/>
      <c r="D38" s="33"/>
      <c r="E38" s="33"/>
      <c r="F38" s="33"/>
      <c r="G38" s="33"/>
      <c r="H38" s="28">
        <v>43919</v>
      </c>
      <c r="I38" s="26">
        <v>10</v>
      </c>
      <c r="J38" s="26">
        <v>5377.92</v>
      </c>
      <c r="K38" s="26">
        <v>7010.1650099999997</v>
      </c>
      <c r="L38" s="27">
        <f t="shared" si="2"/>
        <v>0.30350860741699387</v>
      </c>
      <c r="N38" s="33"/>
      <c r="O38" s="33"/>
      <c r="P38" s="33"/>
      <c r="Q38" s="41"/>
      <c r="S38" s="28">
        <v>43919</v>
      </c>
      <c r="T38" s="26">
        <v>10</v>
      </c>
      <c r="U38" s="26">
        <v>9445.67</v>
      </c>
      <c r="V38" s="26">
        <v>12626.714956</v>
      </c>
      <c r="W38" s="27">
        <f t="shared" si="4"/>
        <v>0.33677282352654703</v>
      </c>
      <c r="AB38" s="41"/>
      <c r="AD38" s="28">
        <v>43919</v>
      </c>
      <c r="AE38" s="26">
        <v>10</v>
      </c>
      <c r="AF38" s="26">
        <v>6317.58</v>
      </c>
      <c r="AG38" s="26">
        <v>4003.17436</v>
      </c>
      <c r="AH38" s="27">
        <f t="shared" si="5"/>
        <v>0.3663437012273687</v>
      </c>
    </row>
    <row r="39" spans="1:34" x14ac:dyDescent="0.25">
      <c r="B39" s="33"/>
      <c r="C39" s="33"/>
      <c r="D39" s="33"/>
      <c r="E39" s="33"/>
      <c r="F39" s="33"/>
      <c r="G39" s="33"/>
      <c r="H39" s="28">
        <v>43919</v>
      </c>
      <c r="I39" s="26">
        <v>11</v>
      </c>
      <c r="J39" s="26">
        <v>5444.33</v>
      </c>
      <c r="K39" s="26">
        <v>7004.7944580000003</v>
      </c>
      <c r="L39" s="27">
        <f t="shared" si="2"/>
        <v>0.2866219457674315</v>
      </c>
      <c r="N39" s="33"/>
      <c r="O39" s="33"/>
      <c r="P39" s="33"/>
      <c r="Q39" s="41"/>
      <c r="S39" s="28">
        <v>43919</v>
      </c>
      <c r="T39" s="26">
        <v>11</v>
      </c>
      <c r="U39" s="26">
        <v>9974.67</v>
      </c>
      <c r="V39" s="26">
        <v>12647.764122</v>
      </c>
      <c r="W39" s="27">
        <f t="shared" si="4"/>
        <v>0.26798822637741404</v>
      </c>
      <c r="AB39" s="41"/>
      <c r="AD39" s="28">
        <v>43919</v>
      </c>
      <c r="AE39" s="26">
        <v>11</v>
      </c>
      <c r="AF39" s="26">
        <v>6473.83</v>
      </c>
      <c r="AG39" s="26">
        <v>3912.8495990000001</v>
      </c>
      <c r="AH39" s="27">
        <f t="shared" si="5"/>
        <v>0.3955896897199957</v>
      </c>
    </row>
    <row r="40" spans="1:34" x14ac:dyDescent="0.25">
      <c r="B40" s="33"/>
      <c r="C40" s="33"/>
      <c r="D40" s="33"/>
      <c r="E40" s="33"/>
      <c r="F40" s="33"/>
      <c r="G40" s="33"/>
      <c r="H40" s="28">
        <v>43919</v>
      </c>
      <c r="I40" s="26">
        <v>12</v>
      </c>
      <c r="J40" s="26">
        <v>5462.92</v>
      </c>
      <c r="K40" s="26">
        <v>6999.4248779999998</v>
      </c>
      <c r="L40" s="27">
        <f t="shared" si="2"/>
        <v>0.28126073198948542</v>
      </c>
      <c r="N40" s="33"/>
      <c r="O40" s="33"/>
      <c r="P40" s="33"/>
      <c r="Q40" s="41"/>
      <c r="S40" s="28">
        <v>43919</v>
      </c>
      <c r="T40" s="26">
        <v>12</v>
      </c>
      <c r="U40" s="26">
        <v>10059.5</v>
      </c>
      <c r="V40" s="26">
        <v>12668.88624</v>
      </c>
      <c r="W40" s="27">
        <f t="shared" si="4"/>
        <v>0.25939522242656193</v>
      </c>
      <c r="AB40" s="41"/>
      <c r="AD40" s="28">
        <v>43919</v>
      </c>
      <c r="AE40" s="26">
        <v>12</v>
      </c>
      <c r="AF40" s="26">
        <v>6619.92</v>
      </c>
      <c r="AG40" s="26">
        <v>3822.151895</v>
      </c>
      <c r="AH40" s="27">
        <f t="shared" si="5"/>
        <v>0.4226286881110346</v>
      </c>
    </row>
    <row r="41" spans="1:34" x14ac:dyDescent="0.25">
      <c r="B41" s="33"/>
      <c r="C41" s="33"/>
      <c r="D41" s="33"/>
      <c r="E41" s="33"/>
      <c r="F41" s="33"/>
      <c r="G41" s="33"/>
      <c r="H41" s="28">
        <v>43919</v>
      </c>
      <c r="I41" s="26">
        <v>13</v>
      </c>
      <c r="J41" s="26">
        <v>5434.75</v>
      </c>
      <c r="K41" s="26">
        <v>6994.0562840000002</v>
      </c>
      <c r="L41" s="27">
        <f t="shared" si="2"/>
        <v>0.28691407774046651</v>
      </c>
      <c r="N41" s="33"/>
      <c r="O41" s="33"/>
      <c r="P41" s="33"/>
      <c r="Q41" s="41"/>
      <c r="S41" s="28">
        <v>43919</v>
      </c>
      <c r="T41" s="26">
        <v>13</v>
      </c>
      <c r="U41" s="26">
        <v>9929.67</v>
      </c>
      <c r="V41" s="26">
        <v>12690.081292000001</v>
      </c>
      <c r="W41" s="27">
        <f t="shared" si="4"/>
        <v>0.2779962770162554</v>
      </c>
      <c r="AB41" s="41"/>
      <c r="AD41" s="28">
        <v>43919</v>
      </c>
      <c r="AE41" s="26">
        <v>13</v>
      </c>
      <c r="AF41" s="26">
        <v>6730.08</v>
      </c>
      <c r="AG41" s="26">
        <v>3731.0497770000002</v>
      </c>
      <c r="AH41" s="27">
        <f t="shared" si="5"/>
        <v>0.44561583562156759</v>
      </c>
    </row>
    <row r="42" spans="1:34" x14ac:dyDescent="0.25">
      <c r="B42" s="33"/>
      <c r="C42" s="33"/>
      <c r="D42" s="33"/>
      <c r="E42" s="33"/>
      <c r="F42" s="33"/>
      <c r="G42" s="33"/>
      <c r="H42" s="28">
        <v>43919</v>
      </c>
      <c r="I42" s="26">
        <v>14</v>
      </c>
      <c r="J42" s="26">
        <v>5428.75</v>
      </c>
      <c r="K42" s="26">
        <v>6988.6886729999997</v>
      </c>
      <c r="L42" s="27">
        <f t="shared" si="2"/>
        <v>0.28734767174763981</v>
      </c>
      <c r="N42" s="33"/>
      <c r="O42" s="33"/>
      <c r="P42" s="33"/>
      <c r="Q42" s="41"/>
      <c r="S42" s="28">
        <v>43919</v>
      </c>
      <c r="T42" s="26">
        <v>14</v>
      </c>
      <c r="U42" s="26">
        <v>10166.67</v>
      </c>
      <c r="V42" s="26">
        <v>12711.349303000001</v>
      </c>
      <c r="W42" s="27">
        <f t="shared" si="4"/>
        <v>0.25029624282090407</v>
      </c>
      <c r="AB42" s="41"/>
      <c r="AD42" s="28">
        <v>43919</v>
      </c>
      <c r="AE42" s="26">
        <v>14</v>
      </c>
      <c r="AF42" s="26">
        <v>6784.83</v>
      </c>
      <c r="AG42" s="26">
        <v>3639.5539389999999</v>
      </c>
      <c r="AH42" s="27">
        <f t="shared" si="5"/>
        <v>0.46357477799738533</v>
      </c>
    </row>
    <row r="43" spans="1:34" x14ac:dyDescent="0.25">
      <c r="B43" s="33"/>
      <c r="C43" s="33"/>
      <c r="D43" s="33"/>
      <c r="E43" s="33"/>
      <c r="F43" s="33"/>
      <c r="G43" s="33"/>
      <c r="H43" s="28">
        <v>43919</v>
      </c>
      <c r="I43" s="26">
        <v>15</v>
      </c>
      <c r="J43" s="26">
        <v>5432.67</v>
      </c>
      <c r="K43" s="26">
        <v>6983.32204</v>
      </c>
      <c r="L43" s="27">
        <f t="shared" si="2"/>
        <v>0.28543092807035947</v>
      </c>
      <c r="N43" s="33"/>
      <c r="O43" s="33"/>
      <c r="P43" s="33"/>
      <c r="Q43" s="41"/>
      <c r="S43" s="28">
        <v>43919</v>
      </c>
      <c r="T43" s="26">
        <v>15</v>
      </c>
      <c r="U43" s="26">
        <v>10046.83</v>
      </c>
      <c r="V43" s="26">
        <v>12732.690296999999</v>
      </c>
      <c r="W43" s="27">
        <f t="shared" si="4"/>
        <v>0.26733410409054392</v>
      </c>
      <c r="AB43" s="41"/>
      <c r="AD43" s="28">
        <v>43919</v>
      </c>
      <c r="AE43" s="26">
        <v>15</v>
      </c>
      <c r="AF43" s="26">
        <v>6794.5</v>
      </c>
      <c r="AG43" s="26">
        <v>3547.690384</v>
      </c>
      <c r="AH43" s="27">
        <f t="shared" si="5"/>
        <v>0.47785850555596437</v>
      </c>
    </row>
    <row r="44" spans="1:34" x14ac:dyDescent="0.25">
      <c r="B44" s="33"/>
      <c r="C44" s="33"/>
      <c r="D44" s="33"/>
      <c r="E44" s="33"/>
      <c r="F44" s="33"/>
      <c r="G44" s="33"/>
      <c r="H44" s="28">
        <v>43919</v>
      </c>
      <c r="I44" s="26">
        <v>16</v>
      </c>
      <c r="J44" s="26">
        <v>5417.17</v>
      </c>
      <c r="K44" s="26">
        <v>6977.9563900000003</v>
      </c>
      <c r="L44" s="27">
        <f t="shared" si="2"/>
        <v>0.28811840684342566</v>
      </c>
      <c r="N44" s="33"/>
      <c r="O44" s="33"/>
      <c r="P44" s="33"/>
      <c r="Q44" s="41"/>
      <c r="S44" s="28">
        <v>43919</v>
      </c>
      <c r="T44" s="26">
        <v>16</v>
      </c>
      <c r="U44" s="26">
        <v>10008.08</v>
      </c>
      <c r="V44" s="26">
        <v>12754.104273999999</v>
      </c>
      <c r="W44" s="27">
        <f t="shared" si="4"/>
        <v>0.27438072777196021</v>
      </c>
      <c r="AB44" s="41"/>
      <c r="AD44" s="28">
        <v>43919</v>
      </c>
      <c r="AE44" s="26">
        <v>16</v>
      </c>
      <c r="AF44" s="26">
        <v>6751.92</v>
      </c>
      <c r="AG44" s="26">
        <v>3455.4603710000001</v>
      </c>
      <c r="AH44" s="27">
        <f t="shared" si="5"/>
        <v>0.48822551644569245</v>
      </c>
    </row>
    <row r="45" spans="1:34" x14ac:dyDescent="0.25">
      <c r="B45" s="33"/>
      <c r="C45" s="33"/>
      <c r="D45" s="33"/>
      <c r="E45" s="33"/>
      <c r="F45" s="33"/>
      <c r="G45" s="33"/>
      <c r="H45" s="28">
        <v>43919</v>
      </c>
      <c r="I45" s="26">
        <v>17</v>
      </c>
      <c r="J45" s="26">
        <v>5334.58</v>
      </c>
      <c r="K45" s="26">
        <v>6972.5917209999998</v>
      </c>
      <c r="L45" s="27">
        <f t="shared" si="2"/>
        <v>0.307055423482261</v>
      </c>
      <c r="N45" s="33"/>
      <c r="O45" s="33"/>
      <c r="P45" s="33"/>
      <c r="Q45" s="41"/>
      <c r="S45" s="28">
        <v>43919</v>
      </c>
      <c r="T45" s="26">
        <v>17</v>
      </c>
      <c r="U45" s="26">
        <v>10173.42</v>
      </c>
      <c r="V45" s="26">
        <v>12775.591229</v>
      </c>
      <c r="W45" s="27">
        <f t="shared" si="4"/>
        <v>0.25578136251132849</v>
      </c>
      <c r="AB45" s="41"/>
      <c r="AD45" s="28">
        <v>43919</v>
      </c>
      <c r="AE45" s="26">
        <v>17</v>
      </c>
      <c r="AF45" s="26">
        <v>6675.58</v>
      </c>
      <c r="AG45" s="26">
        <v>3362.849314</v>
      </c>
      <c r="AH45" s="27">
        <f t="shared" si="5"/>
        <v>0.49624612183510647</v>
      </c>
    </row>
    <row r="46" spans="1:34" x14ac:dyDescent="0.25">
      <c r="B46" s="33"/>
      <c r="C46" s="33"/>
      <c r="D46" s="33"/>
      <c r="E46" s="33"/>
      <c r="F46" s="33"/>
      <c r="G46" s="33"/>
      <c r="H46" s="28">
        <v>43919</v>
      </c>
      <c r="I46" s="26">
        <v>18</v>
      </c>
      <c r="J46" s="26">
        <v>5380.83</v>
      </c>
      <c r="K46" s="26">
        <v>6967.2280330000003</v>
      </c>
      <c r="L46" s="27">
        <f t="shared" si="2"/>
        <v>0.29482403885645903</v>
      </c>
      <c r="N46" s="33"/>
      <c r="O46" s="33"/>
      <c r="P46" s="33"/>
      <c r="Q46" s="41"/>
      <c r="S46" s="28">
        <v>43919</v>
      </c>
      <c r="T46" s="26">
        <v>18</v>
      </c>
      <c r="U46" s="26">
        <v>10637.42</v>
      </c>
      <c r="V46" s="26">
        <v>12797.151156</v>
      </c>
      <c r="W46" s="27">
        <f t="shared" si="4"/>
        <v>0.20303148282196246</v>
      </c>
      <c r="AB46" s="41"/>
      <c r="AD46" s="28">
        <v>43919</v>
      </c>
      <c r="AE46" s="26">
        <v>18</v>
      </c>
      <c r="AF46" s="26">
        <v>6583.75</v>
      </c>
      <c r="AG46" s="26">
        <v>3269.8488600000001</v>
      </c>
      <c r="AH46" s="27">
        <f t="shared" si="5"/>
        <v>0.50334553104233903</v>
      </c>
    </row>
    <row r="47" spans="1:34" x14ac:dyDescent="0.25">
      <c r="B47" s="33"/>
      <c r="C47" s="33"/>
      <c r="D47" s="33"/>
      <c r="E47" s="33"/>
      <c r="F47" s="33"/>
      <c r="G47" s="33"/>
      <c r="H47" s="28">
        <v>43919</v>
      </c>
      <c r="I47" s="26">
        <v>19</v>
      </c>
      <c r="J47" s="26">
        <v>5577.08</v>
      </c>
      <c r="K47" s="26">
        <v>6961.8653270000004</v>
      </c>
      <c r="L47" s="27">
        <f t="shared" si="2"/>
        <v>0.24829934786662564</v>
      </c>
      <c r="N47" s="33"/>
      <c r="O47" s="33"/>
      <c r="P47" s="33"/>
      <c r="Q47" s="41"/>
      <c r="S47" s="28">
        <v>43919</v>
      </c>
      <c r="T47" s="26">
        <v>19</v>
      </c>
      <c r="U47" s="26">
        <v>11114.25</v>
      </c>
      <c r="V47" s="26">
        <v>12818.784052999999</v>
      </c>
      <c r="W47" s="27">
        <f t="shared" si="4"/>
        <v>0.15336473923116714</v>
      </c>
      <c r="AB47" s="41"/>
      <c r="AD47" s="28">
        <v>43919</v>
      </c>
      <c r="AE47" s="26">
        <v>19</v>
      </c>
      <c r="AF47" s="26">
        <v>6509.08</v>
      </c>
      <c r="AG47" s="26">
        <v>3176.4669939999999</v>
      </c>
      <c r="AH47" s="27">
        <f t="shared" si="5"/>
        <v>0.51199447633152462</v>
      </c>
    </row>
    <row r="48" spans="1:34" x14ac:dyDescent="0.25">
      <c r="B48" s="33"/>
      <c r="C48" s="33"/>
      <c r="D48" s="33"/>
      <c r="E48" s="33"/>
      <c r="F48" s="33"/>
      <c r="G48" s="33"/>
      <c r="H48" s="28">
        <v>43919</v>
      </c>
      <c r="I48" s="26">
        <v>20</v>
      </c>
      <c r="J48" s="26">
        <v>5672.83</v>
      </c>
      <c r="K48" s="26">
        <v>6956.5036019999998</v>
      </c>
      <c r="L48" s="27">
        <f t="shared" si="2"/>
        <v>0.22628451795664595</v>
      </c>
      <c r="N48" s="33"/>
      <c r="O48" s="33"/>
      <c r="P48" s="33"/>
      <c r="Q48" s="41"/>
      <c r="S48" s="28">
        <v>43919</v>
      </c>
      <c r="T48" s="26">
        <v>20</v>
      </c>
      <c r="U48" s="26">
        <v>11203.83</v>
      </c>
      <c r="V48" s="26">
        <v>12840.48992</v>
      </c>
      <c r="W48" s="27">
        <f t="shared" si="4"/>
        <v>0.14608039572182013</v>
      </c>
      <c r="AB48" s="41"/>
      <c r="AD48" s="28">
        <v>43919</v>
      </c>
      <c r="AE48" s="26">
        <v>20</v>
      </c>
      <c r="AF48" s="26">
        <v>6592.17</v>
      </c>
      <c r="AG48" s="26">
        <v>3082.711323</v>
      </c>
      <c r="AH48" s="27">
        <f t="shared" si="5"/>
        <v>0.53236774491555894</v>
      </c>
    </row>
    <row r="49" spans="2:34" x14ac:dyDescent="0.25">
      <c r="B49" s="33"/>
      <c r="C49" s="33"/>
      <c r="D49" s="33"/>
      <c r="E49" s="33"/>
      <c r="F49" s="33"/>
      <c r="G49" s="33"/>
      <c r="H49" s="28">
        <v>43919</v>
      </c>
      <c r="I49" s="26">
        <v>21</v>
      </c>
      <c r="J49" s="26">
        <v>5671.08</v>
      </c>
      <c r="K49" s="26">
        <v>6951.1428580000002</v>
      </c>
      <c r="L49" s="27">
        <f t="shared" si="2"/>
        <v>0.22571765131156679</v>
      </c>
      <c r="N49" s="33"/>
      <c r="O49" s="33"/>
      <c r="P49" s="33"/>
      <c r="Q49" s="41"/>
      <c r="S49" s="28">
        <v>43919</v>
      </c>
      <c r="T49" s="26">
        <v>21</v>
      </c>
      <c r="U49" s="26">
        <v>11251.58</v>
      </c>
      <c r="V49" s="26">
        <v>12862.268760000001</v>
      </c>
      <c r="W49" s="27">
        <f t="shared" si="4"/>
        <v>0.14315222928690913</v>
      </c>
      <c r="AB49" s="41"/>
      <c r="AD49" s="28">
        <v>43919</v>
      </c>
      <c r="AE49" s="26">
        <v>21</v>
      </c>
      <c r="AF49" s="26">
        <v>6617.33</v>
      </c>
      <c r="AG49" s="26">
        <v>2988.5798220000001</v>
      </c>
      <c r="AH49" s="27">
        <f t="shared" si="5"/>
        <v>0.54837074439388689</v>
      </c>
    </row>
    <row r="50" spans="2:34" x14ac:dyDescent="0.25">
      <c r="B50" s="33"/>
      <c r="C50" s="33"/>
      <c r="D50" s="33"/>
      <c r="E50" s="33"/>
      <c r="F50" s="33"/>
      <c r="G50" s="33"/>
      <c r="H50" s="28">
        <v>43919</v>
      </c>
      <c r="I50" s="26">
        <v>22</v>
      </c>
      <c r="J50" s="26">
        <v>5609</v>
      </c>
      <c r="K50" s="26">
        <v>6945.7830960000001</v>
      </c>
      <c r="L50" s="27">
        <f t="shared" si="2"/>
        <v>0.23832823961490462</v>
      </c>
      <c r="N50" s="33"/>
      <c r="O50" s="33"/>
      <c r="P50" s="33"/>
      <c r="Q50" s="41"/>
      <c r="S50" s="28">
        <v>43919</v>
      </c>
      <c r="T50" s="26">
        <v>22</v>
      </c>
      <c r="U50" s="26">
        <v>11156.58</v>
      </c>
      <c r="V50" s="26">
        <v>12884.120574</v>
      </c>
      <c r="W50" s="27">
        <f t="shared" si="4"/>
        <v>0.15484499497157736</v>
      </c>
      <c r="AB50" s="41"/>
      <c r="AD50" s="28">
        <v>43919</v>
      </c>
      <c r="AE50" s="26">
        <v>22</v>
      </c>
      <c r="AF50" s="26">
        <v>6546.5</v>
      </c>
      <c r="AG50" s="26">
        <v>2894.0665869999998</v>
      </c>
      <c r="AH50" s="27">
        <f t="shared" si="5"/>
        <v>0.55792154784999626</v>
      </c>
    </row>
    <row r="51" spans="2:34" x14ac:dyDescent="0.25">
      <c r="B51" s="33"/>
      <c r="C51" s="33"/>
      <c r="D51" s="33"/>
      <c r="E51" s="33"/>
      <c r="F51" s="33"/>
      <c r="G51" s="33"/>
      <c r="H51" s="28">
        <v>43919</v>
      </c>
      <c r="I51" s="26">
        <v>23</v>
      </c>
      <c r="J51" s="26">
        <v>5479.17</v>
      </c>
      <c r="K51" s="26">
        <v>6940.4243150000002</v>
      </c>
      <c r="L51" s="27">
        <f t="shared" si="2"/>
        <v>0.26669264049116931</v>
      </c>
      <c r="N51" s="33"/>
      <c r="O51" s="33"/>
      <c r="P51" s="33"/>
      <c r="Q51" s="41"/>
      <c r="S51" s="28">
        <v>43919</v>
      </c>
      <c r="T51" s="26">
        <v>23</v>
      </c>
      <c r="U51" s="26">
        <v>10668.42</v>
      </c>
      <c r="V51" s="26">
        <v>12906.045362000001</v>
      </c>
      <c r="W51" s="27">
        <f t="shared" si="4"/>
        <v>0.20974290119811562</v>
      </c>
      <c r="AB51" s="41"/>
      <c r="AD51" s="28">
        <v>43919</v>
      </c>
      <c r="AE51" s="26">
        <v>23</v>
      </c>
      <c r="AF51" s="26">
        <v>6425</v>
      </c>
      <c r="AG51" s="26">
        <v>2799.1709209999999</v>
      </c>
      <c r="AH51" s="27">
        <f t="shared" si="5"/>
        <v>0.56433137416342416</v>
      </c>
    </row>
    <row r="52" spans="2:34" x14ac:dyDescent="0.25">
      <c r="B52" s="33"/>
      <c r="C52" s="33"/>
      <c r="D52" s="33"/>
      <c r="E52" s="33"/>
      <c r="F52" s="33"/>
      <c r="G52" s="33"/>
      <c r="H52" s="28">
        <v>43920</v>
      </c>
      <c r="I52" s="26">
        <v>0</v>
      </c>
      <c r="J52" s="26">
        <v>5379.92</v>
      </c>
      <c r="K52" s="26"/>
      <c r="L52" s="27">
        <f t="shared" si="2"/>
        <v>1</v>
      </c>
      <c r="N52" s="33"/>
      <c r="O52" s="33"/>
      <c r="P52" s="33"/>
      <c r="Q52" s="41"/>
      <c r="S52" s="28">
        <v>43920</v>
      </c>
      <c r="T52" s="26">
        <v>0</v>
      </c>
      <c r="U52" s="26">
        <v>10064.92</v>
      </c>
      <c r="V52" s="26"/>
      <c r="W52" s="27">
        <f t="shared" si="4"/>
        <v>1</v>
      </c>
      <c r="AB52" s="41"/>
      <c r="AD52" s="28">
        <v>43920</v>
      </c>
      <c r="AE52" s="26">
        <v>0</v>
      </c>
      <c r="AF52" s="26">
        <v>533.5</v>
      </c>
      <c r="AG52" s="26"/>
      <c r="AH52" s="27">
        <f t="shared" si="5"/>
        <v>1</v>
      </c>
    </row>
    <row r="53" spans="2:34" x14ac:dyDescent="0.25">
      <c r="B53" s="33"/>
      <c r="C53" s="33"/>
      <c r="D53" s="33"/>
      <c r="E53" s="33"/>
      <c r="F53" s="33"/>
      <c r="G53" s="33"/>
      <c r="H53" s="28">
        <v>43920</v>
      </c>
      <c r="I53" s="26">
        <v>1</v>
      </c>
      <c r="J53" s="26">
        <v>5476</v>
      </c>
      <c r="K53" s="26"/>
      <c r="L53" s="27">
        <f t="shared" si="2"/>
        <v>1</v>
      </c>
      <c r="N53" s="33"/>
      <c r="O53" s="33"/>
      <c r="P53" s="33"/>
      <c r="Q53" s="41"/>
      <c r="S53" s="28">
        <v>43920</v>
      </c>
      <c r="T53" s="26">
        <v>1</v>
      </c>
      <c r="U53" s="26">
        <v>9787.75</v>
      </c>
      <c r="V53" s="26"/>
      <c r="W53" s="27">
        <f t="shared" si="4"/>
        <v>1</v>
      </c>
      <c r="AB53" s="41"/>
      <c r="AD53" s="28">
        <v>43920</v>
      </c>
      <c r="AE53" s="26">
        <v>1</v>
      </c>
      <c r="AF53" s="26">
        <v>5428.5</v>
      </c>
      <c r="AG53" s="26"/>
      <c r="AH53" s="27">
        <f t="shared" si="5"/>
        <v>1</v>
      </c>
    </row>
    <row r="54" spans="2:34" x14ac:dyDescent="0.25">
      <c r="B54" s="33"/>
      <c r="C54" s="33"/>
      <c r="D54" s="33"/>
      <c r="E54" s="33"/>
      <c r="F54" s="33"/>
      <c r="G54" s="33"/>
      <c r="H54" s="28">
        <v>43920</v>
      </c>
      <c r="I54" s="26">
        <v>2</v>
      </c>
      <c r="J54" s="26">
        <v>5241.83</v>
      </c>
      <c r="K54" s="26"/>
      <c r="L54" s="27">
        <f t="shared" si="2"/>
        <v>1</v>
      </c>
      <c r="N54" s="33"/>
      <c r="O54" s="33"/>
      <c r="P54" s="33"/>
      <c r="Q54" s="41"/>
      <c r="S54" s="28">
        <v>43920</v>
      </c>
      <c r="T54" s="26">
        <v>2</v>
      </c>
      <c r="U54" s="26">
        <v>9243.42</v>
      </c>
      <c r="V54" s="26"/>
      <c r="W54" s="27">
        <f t="shared" si="4"/>
        <v>1</v>
      </c>
      <c r="AB54" s="41"/>
      <c r="AD54" s="28">
        <v>43920</v>
      </c>
      <c r="AE54" s="26">
        <v>2</v>
      </c>
      <c r="AF54" s="26">
        <v>5764.33</v>
      </c>
      <c r="AG54" s="26"/>
      <c r="AH54" s="27">
        <f t="shared" si="5"/>
        <v>1</v>
      </c>
    </row>
    <row r="55" spans="2:34" x14ac:dyDescent="0.25">
      <c r="B55" s="33"/>
      <c r="C55" s="33"/>
      <c r="D55" s="33"/>
      <c r="E55" s="33"/>
      <c r="F55" s="33"/>
      <c r="G55" s="33"/>
      <c r="H55" s="28">
        <v>43920</v>
      </c>
      <c r="I55" s="26">
        <v>3</v>
      </c>
      <c r="J55" s="26">
        <v>5136.17</v>
      </c>
      <c r="K55" s="26"/>
      <c r="L55" s="27">
        <f t="shared" si="2"/>
        <v>1</v>
      </c>
      <c r="N55" s="33"/>
      <c r="O55" s="33"/>
      <c r="P55" s="33"/>
      <c r="Q55" s="41"/>
      <c r="S55" s="28">
        <v>43920</v>
      </c>
      <c r="T55" s="26">
        <v>3</v>
      </c>
      <c r="U55" s="26">
        <v>9150.5</v>
      </c>
      <c r="V55" s="26"/>
      <c r="W55" s="27">
        <f t="shared" si="4"/>
        <v>1</v>
      </c>
      <c r="AB55" s="41"/>
      <c r="AD55" s="28">
        <v>43920</v>
      </c>
      <c r="AE55" s="26">
        <v>3</v>
      </c>
      <c r="AF55" s="26">
        <v>5598.75</v>
      </c>
      <c r="AG55" s="26"/>
      <c r="AH55" s="27">
        <f t="shared" si="5"/>
        <v>1</v>
      </c>
    </row>
    <row r="56" spans="2:34" x14ac:dyDescent="0.25">
      <c r="B56" s="33"/>
      <c r="C56" s="33"/>
      <c r="D56" s="33"/>
      <c r="E56" s="33"/>
      <c r="F56" s="33"/>
      <c r="G56" s="33"/>
      <c r="H56" s="28">
        <v>43920</v>
      </c>
      <c r="I56" s="26">
        <v>4</v>
      </c>
      <c r="J56" s="26">
        <v>5163.42</v>
      </c>
      <c r="K56" s="26"/>
      <c r="L56" s="27">
        <f t="shared" si="2"/>
        <v>1</v>
      </c>
      <c r="N56" s="33"/>
      <c r="O56" s="33"/>
      <c r="P56" s="33"/>
      <c r="Q56" s="41"/>
      <c r="S56" s="28">
        <v>43920</v>
      </c>
      <c r="T56" s="26">
        <v>4</v>
      </c>
      <c r="U56" s="26">
        <v>9466.25</v>
      </c>
      <c r="V56" s="26"/>
      <c r="W56" s="27">
        <f t="shared" si="4"/>
        <v>1</v>
      </c>
      <c r="AB56" s="41"/>
      <c r="AD56" s="28">
        <v>43920</v>
      </c>
      <c r="AE56" s="26">
        <v>4</v>
      </c>
      <c r="AF56" s="26">
        <v>5463.33</v>
      </c>
      <c r="AG56" s="26"/>
      <c r="AH56" s="27">
        <f t="shared" si="5"/>
        <v>1</v>
      </c>
    </row>
    <row r="57" spans="2:34" x14ac:dyDescent="0.25">
      <c r="B57" s="33"/>
      <c r="C57" s="33"/>
      <c r="D57" s="33"/>
      <c r="E57" s="33"/>
      <c r="F57" s="33"/>
      <c r="G57" s="33"/>
      <c r="H57" s="28">
        <v>43920</v>
      </c>
      <c r="I57" s="26">
        <v>5</v>
      </c>
      <c r="J57" s="26">
        <v>5207.75</v>
      </c>
      <c r="K57" s="26"/>
      <c r="L57" s="27">
        <f t="shared" si="2"/>
        <v>1</v>
      </c>
      <c r="N57" s="33"/>
      <c r="O57" s="33"/>
      <c r="P57" s="33"/>
      <c r="Q57" s="41"/>
      <c r="S57" s="28">
        <v>43920</v>
      </c>
      <c r="T57" s="26">
        <v>5</v>
      </c>
      <c r="U57" s="26">
        <v>9783.83</v>
      </c>
      <c r="V57" s="26"/>
      <c r="W57" s="27">
        <f t="shared" si="4"/>
        <v>1</v>
      </c>
      <c r="AB57" s="41"/>
      <c r="AD57" s="28">
        <v>43920</v>
      </c>
      <c r="AE57" s="26">
        <v>5</v>
      </c>
      <c r="AF57" s="26">
        <v>5351</v>
      </c>
      <c r="AG57" s="26"/>
      <c r="AH57" s="27">
        <f t="shared" si="5"/>
        <v>1</v>
      </c>
    </row>
    <row r="58" spans="2:34" x14ac:dyDescent="0.25">
      <c r="B58" s="33"/>
      <c r="C58" s="33"/>
      <c r="D58" s="33"/>
      <c r="E58" s="33"/>
      <c r="F58" s="33"/>
      <c r="G58" s="33"/>
      <c r="H58" s="28">
        <v>43920</v>
      </c>
      <c r="I58" s="26">
        <v>6</v>
      </c>
      <c r="J58" s="26">
        <v>5411.83</v>
      </c>
      <c r="K58" s="26"/>
      <c r="L58" s="27">
        <f t="shared" si="2"/>
        <v>1</v>
      </c>
      <c r="N58" s="33"/>
      <c r="O58" s="33"/>
      <c r="P58" s="33"/>
      <c r="Q58" s="41"/>
      <c r="S58" s="28">
        <v>43920</v>
      </c>
      <c r="T58" s="26">
        <v>6</v>
      </c>
      <c r="U58" s="26">
        <v>10444.33</v>
      </c>
      <c r="V58" s="26"/>
      <c r="W58" s="27">
        <f t="shared" si="4"/>
        <v>1</v>
      </c>
      <c r="AB58" s="41"/>
      <c r="AD58" s="28">
        <v>43920</v>
      </c>
      <c r="AE58" s="26">
        <v>6</v>
      </c>
      <c r="AF58" s="26">
        <v>5286.17</v>
      </c>
      <c r="AG58" s="26"/>
      <c r="AH58" s="27">
        <f t="shared" si="5"/>
        <v>1</v>
      </c>
    </row>
    <row r="59" spans="2:34" x14ac:dyDescent="0.25">
      <c r="B59" s="33"/>
      <c r="C59" s="33"/>
      <c r="D59" s="33"/>
      <c r="E59" s="33"/>
      <c r="F59" s="33"/>
      <c r="G59" s="33"/>
      <c r="H59" s="28">
        <v>43920</v>
      </c>
      <c r="I59" s="26">
        <v>7</v>
      </c>
      <c r="J59" s="26">
        <v>5589.08</v>
      </c>
      <c r="K59" s="26"/>
      <c r="L59" s="27">
        <f t="shared" si="2"/>
        <v>1</v>
      </c>
      <c r="N59" s="33"/>
      <c r="O59" s="33"/>
      <c r="P59" s="33"/>
      <c r="Q59" s="41"/>
      <c r="S59" s="28">
        <v>43920</v>
      </c>
      <c r="T59" s="26">
        <v>7</v>
      </c>
      <c r="U59" s="26">
        <v>10319.92</v>
      </c>
      <c r="V59" s="26"/>
      <c r="W59" s="27">
        <f t="shared" si="4"/>
        <v>1</v>
      </c>
      <c r="AB59" s="41"/>
      <c r="AD59" s="28">
        <v>43920</v>
      </c>
      <c r="AE59" s="26">
        <v>7</v>
      </c>
      <c r="AF59" s="26">
        <v>5252</v>
      </c>
      <c r="AG59" s="26"/>
      <c r="AH59" s="27">
        <f t="shared" si="5"/>
        <v>1</v>
      </c>
    </row>
    <row r="60" spans="2:34" x14ac:dyDescent="0.25">
      <c r="B60" s="33"/>
      <c r="C60" s="33"/>
      <c r="D60" s="33"/>
      <c r="E60" s="33"/>
      <c r="F60" s="33"/>
      <c r="G60" s="33"/>
      <c r="H60" s="28">
        <v>43920</v>
      </c>
      <c r="I60" s="26">
        <v>8</v>
      </c>
      <c r="J60" s="26">
        <v>5765.83</v>
      </c>
      <c r="K60" s="26"/>
      <c r="L60" s="27">
        <f t="shared" si="2"/>
        <v>1</v>
      </c>
      <c r="N60" s="33"/>
      <c r="O60" s="33"/>
      <c r="P60" s="33"/>
      <c r="Q60" s="41"/>
      <c r="S60" s="28">
        <v>43920</v>
      </c>
      <c r="T60" s="26">
        <v>8</v>
      </c>
      <c r="U60" s="26">
        <v>10290.75</v>
      </c>
      <c r="V60" s="26"/>
      <c r="W60" s="27">
        <f t="shared" si="4"/>
        <v>1</v>
      </c>
      <c r="AB60" s="41"/>
      <c r="AD60" s="28">
        <v>43920</v>
      </c>
      <c r="AE60" s="26">
        <v>8</v>
      </c>
      <c r="AF60" s="26">
        <v>5151.5</v>
      </c>
      <c r="AG60" s="26"/>
      <c r="AH60" s="27">
        <f t="shared" si="5"/>
        <v>1</v>
      </c>
    </row>
    <row r="61" spans="2:34" x14ac:dyDescent="0.25">
      <c r="B61" s="33"/>
      <c r="C61" s="33"/>
      <c r="D61" s="33"/>
      <c r="E61" s="33"/>
      <c r="F61" s="33"/>
      <c r="G61" s="33"/>
      <c r="H61" s="28">
        <v>43920</v>
      </c>
      <c r="I61" s="26">
        <v>9</v>
      </c>
      <c r="J61" s="26">
        <v>6010.83</v>
      </c>
      <c r="K61" s="26"/>
      <c r="L61" s="27">
        <f t="shared" si="2"/>
        <v>1</v>
      </c>
      <c r="N61" s="33"/>
      <c r="O61" s="33"/>
      <c r="P61" s="33"/>
      <c r="Q61" s="41"/>
      <c r="S61" s="28">
        <v>43920</v>
      </c>
      <c r="T61" s="26">
        <v>9</v>
      </c>
      <c r="U61" s="26">
        <v>10483.25</v>
      </c>
      <c r="V61" s="26"/>
      <c r="W61" s="27">
        <f t="shared" si="4"/>
        <v>1</v>
      </c>
      <c r="AB61" s="41"/>
      <c r="AD61" s="28">
        <v>43920</v>
      </c>
      <c r="AE61" s="26">
        <v>9</v>
      </c>
      <c r="AF61" s="26">
        <v>5115</v>
      </c>
      <c r="AG61" s="26"/>
      <c r="AH61" s="27">
        <f t="shared" si="5"/>
        <v>1</v>
      </c>
    </row>
    <row r="62" spans="2:34" x14ac:dyDescent="0.25">
      <c r="B62" s="33"/>
      <c r="C62" s="33"/>
      <c r="D62" s="33"/>
      <c r="E62" s="33"/>
      <c r="F62" s="33"/>
      <c r="G62" s="33"/>
      <c r="H62" s="28">
        <v>43920</v>
      </c>
      <c r="I62" s="26">
        <v>10</v>
      </c>
      <c r="J62" s="26">
        <v>6018.25</v>
      </c>
      <c r="K62" s="26"/>
      <c r="L62" s="27">
        <f t="shared" si="2"/>
        <v>1</v>
      </c>
      <c r="N62" s="33"/>
      <c r="O62" s="33"/>
      <c r="P62" s="33"/>
      <c r="Q62" s="41"/>
      <c r="S62" s="28">
        <v>43920</v>
      </c>
      <c r="T62" s="26">
        <v>10</v>
      </c>
      <c r="U62" s="26">
        <v>10664.08</v>
      </c>
      <c r="V62" s="26"/>
      <c r="W62" s="27">
        <f t="shared" si="4"/>
        <v>1</v>
      </c>
      <c r="AB62" s="41"/>
      <c r="AD62" s="28">
        <v>43920</v>
      </c>
      <c r="AE62" s="26">
        <v>10</v>
      </c>
      <c r="AF62" s="26">
        <v>5170.42</v>
      </c>
      <c r="AG62" s="26"/>
      <c r="AH62" s="27">
        <f t="shared" si="5"/>
        <v>1</v>
      </c>
    </row>
    <row r="63" spans="2:34" x14ac:dyDescent="0.25">
      <c r="B63" s="33"/>
      <c r="C63" s="33"/>
      <c r="D63" s="33"/>
      <c r="E63" s="33"/>
      <c r="F63" s="33"/>
      <c r="G63" s="33"/>
      <c r="H63" s="28">
        <v>43920</v>
      </c>
      <c r="I63" s="26">
        <v>11</v>
      </c>
      <c r="J63" s="26">
        <v>6145</v>
      </c>
      <c r="K63" s="26"/>
      <c r="L63" s="27">
        <f t="shared" si="2"/>
        <v>1</v>
      </c>
      <c r="N63" s="33"/>
      <c r="O63" s="33"/>
      <c r="P63" s="33"/>
      <c r="Q63" s="41"/>
      <c r="S63" s="28">
        <v>43920</v>
      </c>
      <c r="T63" s="26">
        <v>11</v>
      </c>
      <c r="U63" s="26">
        <v>10948.25</v>
      </c>
      <c r="V63" s="26"/>
      <c r="W63" s="27">
        <f t="shared" si="4"/>
        <v>1</v>
      </c>
      <c r="AB63" s="41"/>
      <c r="AD63" s="28">
        <v>43920</v>
      </c>
      <c r="AE63" s="26">
        <v>11</v>
      </c>
      <c r="AF63" s="26">
        <v>5235.58</v>
      </c>
      <c r="AG63" s="26"/>
      <c r="AH63" s="27">
        <f t="shared" si="5"/>
        <v>1</v>
      </c>
    </row>
    <row r="64" spans="2:34" x14ac:dyDescent="0.25">
      <c r="B64" s="33"/>
      <c r="C64" s="33"/>
      <c r="D64" s="33"/>
      <c r="E64" s="33"/>
      <c r="F64" s="33"/>
      <c r="G64" s="33"/>
      <c r="H64" s="28">
        <v>43920</v>
      </c>
      <c r="I64" s="26">
        <v>12</v>
      </c>
      <c r="J64" s="26">
        <v>6335.08</v>
      </c>
      <c r="K64" s="26"/>
      <c r="L64" s="27">
        <f t="shared" si="2"/>
        <v>1</v>
      </c>
      <c r="N64" s="33"/>
      <c r="O64" s="33"/>
      <c r="P64" s="33"/>
      <c r="Q64" s="41"/>
      <c r="S64" s="28">
        <v>43920</v>
      </c>
      <c r="T64" s="26">
        <v>12</v>
      </c>
      <c r="U64" s="26">
        <v>11190.92</v>
      </c>
      <c r="V64" s="26"/>
      <c r="W64" s="27">
        <f t="shared" si="4"/>
        <v>1</v>
      </c>
      <c r="AB64" s="41"/>
      <c r="AD64" s="28">
        <v>43920</v>
      </c>
      <c r="AE64" s="26">
        <v>12</v>
      </c>
      <c r="AF64" s="26">
        <v>5306.08</v>
      </c>
      <c r="AG64" s="26"/>
      <c r="AH64" s="27">
        <f t="shared" si="5"/>
        <v>1</v>
      </c>
    </row>
    <row r="65" spans="2:34" x14ac:dyDescent="0.25">
      <c r="B65" s="33"/>
      <c r="C65" s="33"/>
      <c r="D65" s="33"/>
      <c r="E65" s="33"/>
      <c r="F65" s="33"/>
      <c r="G65" s="33"/>
      <c r="H65" s="28">
        <v>43920</v>
      </c>
      <c r="I65" s="26">
        <v>13</v>
      </c>
      <c r="J65" s="26">
        <v>6517.5</v>
      </c>
      <c r="K65" s="26"/>
      <c r="L65" s="27">
        <f t="shared" si="2"/>
        <v>1</v>
      </c>
      <c r="N65" s="33"/>
      <c r="O65" s="33"/>
      <c r="P65" s="33"/>
      <c r="Q65" s="41"/>
      <c r="S65" s="28">
        <v>43920</v>
      </c>
      <c r="T65" s="26">
        <v>13</v>
      </c>
      <c r="U65" s="26">
        <v>11465.92</v>
      </c>
      <c r="V65" s="26"/>
      <c r="W65" s="27">
        <f t="shared" si="4"/>
        <v>1</v>
      </c>
      <c r="AB65" s="41"/>
      <c r="AD65" s="28">
        <v>43920</v>
      </c>
      <c r="AE65" s="26">
        <v>13</v>
      </c>
      <c r="AF65" s="26">
        <v>5348.67</v>
      </c>
      <c r="AG65" s="26"/>
      <c r="AH65" s="27">
        <f t="shared" si="5"/>
        <v>1</v>
      </c>
    </row>
    <row r="66" spans="2:34" x14ac:dyDescent="0.25">
      <c r="B66" s="33"/>
      <c r="C66" s="33"/>
      <c r="D66" s="33"/>
      <c r="E66" s="33"/>
      <c r="F66" s="33"/>
      <c r="G66" s="33"/>
      <c r="H66" s="28">
        <v>43920</v>
      </c>
      <c r="I66" s="26">
        <v>14</v>
      </c>
      <c r="J66" s="26">
        <v>6602.42</v>
      </c>
      <c r="K66" s="26"/>
      <c r="L66" s="27">
        <f t="shared" si="2"/>
        <v>1</v>
      </c>
      <c r="N66" s="33"/>
      <c r="O66" s="33"/>
      <c r="P66" s="33"/>
      <c r="Q66" s="41"/>
      <c r="S66" s="28">
        <v>43920</v>
      </c>
      <c r="T66" s="26">
        <v>14</v>
      </c>
      <c r="U66" s="26">
        <v>11652.75</v>
      </c>
      <c r="V66" s="26"/>
      <c r="W66" s="27">
        <f t="shared" si="4"/>
        <v>1</v>
      </c>
      <c r="AB66" s="41"/>
      <c r="AD66" s="28">
        <v>43920</v>
      </c>
      <c r="AE66" s="26">
        <v>14</v>
      </c>
      <c r="AF66" s="26">
        <v>5385.92</v>
      </c>
      <c r="AG66" s="26"/>
      <c r="AH66" s="27">
        <f t="shared" si="5"/>
        <v>1</v>
      </c>
    </row>
    <row r="67" spans="2:34" x14ac:dyDescent="0.25">
      <c r="B67" s="33"/>
      <c r="C67" s="33"/>
      <c r="D67" s="33"/>
      <c r="E67" s="33"/>
      <c r="F67" s="33"/>
      <c r="G67" s="33"/>
      <c r="H67" s="28">
        <v>43920</v>
      </c>
      <c r="I67" s="26">
        <v>15</v>
      </c>
      <c r="J67" s="26">
        <v>6608.83</v>
      </c>
      <c r="K67" s="26"/>
      <c r="L67" s="27">
        <f t="shared" si="2"/>
        <v>1</v>
      </c>
      <c r="N67" s="33"/>
      <c r="O67" s="33"/>
      <c r="P67" s="33"/>
      <c r="Q67" s="41"/>
      <c r="S67" s="28">
        <v>43920</v>
      </c>
      <c r="T67" s="26">
        <v>15</v>
      </c>
      <c r="U67" s="26">
        <v>11730.58</v>
      </c>
      <c r="V67" s="26"/>
      <c r="W67" s="27">
        <f t="shared" si="4"/>
        <v>1</v>
      </c>
      <c r="AB67" s="41"/>
      <c r="AD67" s="28">
        <v>43920</v>
      </c>
      <c r="AE67" s="26">
        <v>15</v>
      </c>
      <c r="AF67" s="26">
        <v>5403.67</v>
      </c>
      <c r="AG67" s="26"/>
      <c r="AH67" s="27">
        <f t="shared" si="5"/>
        <v>1</v>
      </c>
    </row>
    <row r="68" spans="2:34" x14ac:dyDescent="0.25">
      <c r="B68" s="33"/>
      <c r="C68" s="33"/>
      <c r="D68" s="33"/>
      <c r="E68" s="33"/>
      <c r="F68" s="33"/>
      <c r="G68" s="33"/>
      <c r="H68" s="28">
        <v>43920</v>
      </c>
      <c r="I68" s="26">
        <v>16</v>
      </c>
      <c r="J68" s="26">
        <v>6661.17</v>
      </c>
      <c r="K68" s="26"/>
      <c r="L68" s="27">
        <f t="shared" si="2"/>
        <v>1</v>
      </c>
      <c r="N68" s="33"/>
      <c r="O68" s="33"/>
      <c r="P68" s="33"/>
      <c r="Q68" s="41"/>
      <c r="S68" s="28">
        <v>43920</v>
      </c>
      <c r="T68" s="26">
        <v>16</v>
      </c>
      <c r="U68" s="26">
        <v>11763.83</v>
      </c>
      <c r="V68" s="26"/>
      <c r="W68" s="27">
        <f t="shared" si="4"/>
        <v>1</v>
      </c>
      <c r="AB68" s="41"/>
      <c r="AD68" s="28">
        <v>43920</v>
      </c>
      <c r="AE68" s="26">
        <v>16</v>
      </c>
      <c r="AF68" s="26">
        <v>5432.5</v>
      </c>
      <c r="AG68" s="26"/>
      <c r="AH68" s="27">
        <f t="shared" si="5"/>
        <v>1</v>
      </c>
    </row>
    <row r="69" spans="2:34" x14ac:dyDescent="0.25">
      <c r="B69" s="33"/>
      <c r="C69" s="33"/>
      <c r="D69" s="33"/>
      <c r="E69" s="33"/>
      <c r="F69" s="33"/>
      <c r="G69" s="33"/>
      <c r="H69" s="28">
        <v>43920</v>
      </c>
      <c r="I69" s="26">
        <v>17</v>
      </c>
      <c r="J69" s="26">
        <v>6529.33</v>
      </c>
      <c r="K69" s="26"/>
      <c r="L69" s="27">
        <f t="shared" ref="L69:L75" si="6">ABS((J69-K69)/J69)</f>
        <v>1</v>
      </c>
      <c r="N69" s="33"/>
      <c r="O69" s="33"/>
      <c r="P69" s="33"/>
      <c r="Q69" s="42"/>
      <c r="S69" s="28">
        <v>43920</v>
      </c>
      <c r="T69" s="26">
        <v>17</v>
      </c>
      <c r="U69" s="26">
        <v>11725</v>
      </c>
      <c r="V69" s="26"/>
      <c r="W69" s="27">
        <f t="shared" ref="W69:W75" si="7">ABS((U69-V69)/U69)</f>
        <v>1</v>
      </c>
      <c r="AB69" s="41"/>
      <c r="AD69" s="28">
        <v>43920</v>
      </c>
      <c r="AE69" s="26">
        <v>17</v>
      </c>
      <c r="AF69" s="26">
        <v>5410.25</v>
      </c>
      <c r="AG69" s="26"/>
      <c r="AH69" s="27">
        <f t="shared" ref="AH69:AH75" si="8">ABS((AF69-AG69)/AF69)</f>
        <v>1</v>
      </c>
    </row>
    <row r="70" spans="2:34" x14ac:dyDescent="0.25">
      <c r="B70" s="33"/>
      <c r="C70" s="33"/>
      <c r="D70" s="33"/>
      <c r="E70" s="33"/>
      <c r="F70" s="33"/>
      <c r="G70" s="33"/>
      <c r="H70" s="28">
        <v>43920</v>
      </c>
      <c r="I70" s="26">
        <v>18</v>
      </c>
      <c r="J70" s="26">
        <v>6285.5</v>
      </c>
      <c r="K70" s="26"/>
      <c r="L70" s="27">
        <f t="shared" si="6"/>
        <v>1</v>
      </c>
      <c r="P70" s="33"/>
      <c r="Q70" s="41"/>
      <c r="S70" s="28">
        <v>43920</v>
      </c>
      <c r="T70" s="26">
        <v>18</v>
      </c>
      <c r="U70" s="26">
        <v>11554.25</v>
      </c>
      <c r="V70" s="26"/>
      <c r="W70" s="27">
        <f t="shared" si="7"/>
        <v>1</v>
      </c>
      <c r="AB70" s="41"/>
      <c r="AD70" s="28">
        <v>43920</v>
      </c>
      <c r="AE70" s="26">
        <v>18</v>
      </c>
      <c r="AF70" s="26">
        <v>5412.58</v>
      </c>
      <c r="AG70" s="26"/>
      <c r="AH70" s="27">
        <f t="shared" si="8"/>
        <v>1</v>
      </c>
    </row>
    <row r="71" spans="2:34" x14ac:dyDescent="0.25">
      <c r="B71" s="33"/>
      <c r="C71" s="33"/>
      <c r="D71" s="33"/>
      <c r="E71" s="33"/>
      <c r="F71" s="33"/>
      <c r="G71" s="33"/>
      <c r="H71" s="28">
        <v>43920</v>
      </c>
      <c r="I71" s="26">
        <v>19</v>
      </c>
      <c r="J71" s="26">
        <v>6443.75</v>
      </c>
      <c r="K71" s="26"/>
      <c r="L71" s="27">
        <f t="shared" si="6"/>
        <v>1</v>
      </c>
      <c r="P71" s="33"/>
      <c r="Q71" s="41"/>
      <c r="S71" s="28">
        <v>43920</v>
      </c>
      <c r="T71" s="26">
        <v>19</v>
      </c>
      <c r="U71" s="26">
        <v>11762</v>
      </c>
      <c r="V71" s="26"/>
      <c r="W71" s="27">
        <f t="shared" si="7"/>
        <v>1</v>
      </c>
      <c r="AB71" s="41"/>
      <c r="AD71" s="28">
        <v>43920</v>
      </c>
      <c r="AE71" s="26">
        <v>19</v>
      </c>
      <c r="AF71" s="26">
        <v>5346.08</v>
      </c>
      <c r="AG71" s="26"/>
      <c r="AH71" s="27">
        <f t="shared" si="8"/>
        <v>1</v>
      </c>
    </row>
    <row r="72" spans="2:34" x14ac:dyDescent="0.25">
      <c r="B72" s="33"/>
      <c r="C72" s="33"/>
      <c r="D72" s="33"/>
      <c r="E72" s="33"/>
      <c r="F72" s="33"/>
      <c r="G72" s="33"/>
      <c r="H72" s="28">
        <v>43920</v>
      </c>
      <c r="I72" s="26">
        <v>20</v>
      </c>
      <c r="J72" s="26">
        <v>6518.33</v>
      </c>
      <c r="K72" s="26"/>
      <c r="L72" s="27">
        <f t="shared" si="6"/>
        <v>1</v>
      </c>
      <c r="P72" s="33"/>
      <c r="Q72" s="41"/>
      <c r="S72" s="28">
        <v>43920</v>
      </c>
      <c r="T72" s="26">
        <v>20</v>
      </c>
      <c r="U72" s="26">
        <v>11859.42</v>
      </c>
      <c r="V72" s="26"/>
      <c r="W72" s="27">
        <f t="shared" si="7"/>
        <v>1</v>
      </c>
      <c r="AB72" s="41"/>
      <c r="AD72" s="28">
        <v>43920</v>
      </c>
      <c r="AE72" s="26">
        <v>20</v>
      </c>
      <c r="AF72" s="26">
        <v>5534.33</v>
      </c>
      <c r="AG72" s="26"/>
      <c r="AH72" s="27">
        <f t="shared" si="8"/>
        <v>1</v>
      </c>
    </row>
    <row r="73" spans="2:34" x14ac:dyDescent="0.25">
      <c r="B73" s="33"/>
      <c r="C73" s="33"/>
      <c r="D73" s="33"/>
      <c r="E73" s="33"/>
      <c r="F73" s="33"/>
      <c r="G73" s="33"/>
      <c r="H73" s="28">
        <v>43920</v>
      </c>
      <c r="I73" s="26">
        <v>21</v>
      </c>
      <c r="J73" s="26">
        <v>6488.92</v>
      </c>
      <c r="K73" s="26"/>
      <c r="L73" s="27">
        <f t="shared" si="6"/>
        <v>1</v>
      </c>
      <c r="P73" s="33"/>
      <c r="Q73" s="41"/>
      <c r="S73" s="28">
        <v>43920</v>
      </c>
      <c r="T73" s="26">
        <v>21</v>
      </c>
      <c r="U73" s="26">
        <v>11959.33</v>
      </c>
      <c r="V73" s="26"/>
      <c r="W73" s="27">
        <f t="shared" si="7"/>
        <v>1</v>
      </c>
      <c r="AB73" s="41"/>
      <c r="AD73" s="28">
        <v>43920</v>
      </c>
      <c r="AE73" s="26">
        <v>21</v>
      </c>
      <c r="AF73" s="26">
        <v>5607.92</v>
      </c>
      <c r="AG73" s="26"/>
      <c r="AH73" s="27">
        <f t="shared" si="8"/>
        <v>1</v>
      </c>
    </row>
    <row r="74" spans="2:34" x14ac:dyDescent="0.25">
      <c r="B74" s="33"/>
      <c r="C74" s="33"/>
      <c r="D74" s="33"/>
      <c r="E74" s="33"/>
      <c r="F74" s="33"/>
      <c r="G74" s="33"/>
      <c r="H74" s="28">
        <v>43920</v>
      </c>
      <c r="I74" s="26">
        <v>22</v>
      </c>
      <c r="J74" s="26">
        <v>6480</v>
      </c>
      <c r="K74" s="26"/>
      <c r="L74" s="27">
        <f t="shared" si="6"/>
        <v>1</v>
      </c>
      <c r="P74" s="33"/>
      <c r="Q74" s="41"/>
      <c r="S74" s="28">
        <v>43920</v>
      </c>
      <c r="T74" s="26">
        <v>22</v>
      </c>
      <c r="U74" s="26">
        <v>11973.08</v>
      </c>
      <c r="V74" s="26"/>
      <c r="W74" s="27">
        <f t="shared" si="7"/>
        <v>1</v>
      </c>
      <c r="AB74" s="41"/>
      <c r="AD74" s="28">
        <v>43920</v>
      </c>
      <c r="AE74" s="26">
        <v>22</v>
      </c>
      <c r="AF74" s="26">
        <v>5607.5</v>
      </c>
      <c r="AG74" s="26"/>
      <c r="AH74" s="27">
        <f t="shared" si="8"/>
        <v>1</v>
      </c>
    </row>
    <row r="75" spans="2:34" x14ac:dyDescent="0.25">
      <c r="B75" s="33"/>
      <c r="C75" s="33"/>
      <c r="D75" s="33"/>
      <c r="E75" s="33"/>
      <c r="F75" s="33"/>
      <c r="G75" s="33"/>
      <c r="H75" s="28">
        <v>43920</v>
      </c>
      <c r="I75" s="26">
        <v>23</v>
      </c>
      <c r="J75" s="26">
        <v>6390.17</v>
      </c>
      <c r="K75" s="26"/>
      <c r="L75" s="27">
        <f t="shared" si="6"/>
        <v>1</v>
      </c>
      <c r="P75" s="33"/>
      <c r="Q75" s="41"/>
      <c r="S75" s="28">
        <v>43920</v>
      </c>
      <c r="T75" s="26">
        <v>23</v>
      </c>
      <c r="U75" s="26">
        <v>11947.42</v>
      </c>
      <c r="V75" s="26"/>
      <c r="W75" s="27">
        <f t="shared" si="7"/>
        <v>1</v>
      </c>
      <c r="AB75" s="41"/>
      <c r="AD75" s="28">
        <v>43920</v>
      </c>
      <c r="AE75" s="26">
        <v>23</v>
      </c>
      <c r="AF75" s="26">
        <v>5496.08</v>
      </c>
      <c r="AG75" s="26"/>
      <c r="AH75" s="27">
        <f t="shared" si="8"/>
        <v>1</v>
      </c>
    </row>
    <row r="76" spans="2:34" x14ac:dyDescent="0.25">
      <c r="L76" s="43">
        <f>AVERAGE(L4:L51)</f>
        <v>0.17073739853250205</v>
      </c>
      <c r="P76" s="33"/>
      <c r="Q76" s="33"/>
      <c r="W76" s="43">
        <f>AVERAGE(W4:W51)</f>
        <v>0.14732649503259446</v>
      </c>
      <c r="AH76" s="43">
        <f>AVERAGE(AH4:AH51)</f>
        <v>0.64482562399727594</v>
      </c>
    </row>
    <row r="77" spans="2:34" x14ac:dyDescent="0.25">
      <c r="T77" s="33"/>
      <c r="U77" s="33"/>
      <c r="V77" s="33"/>
      <c r="W77" s="41"/>
    </row>
    <row r="78" spans="2:34" x14ac:dyDescent="0.25">
      <c r="T78" s="33"/>
      <c r="U78" s="33"/>
      <c r="V78" s="33"/>
      <c r="W78" s="41"/>
    </row>
    <row r="79" spans="2:34" x14ac:dyDescent="0.25">
      <c r="T79" s="33"/>
      <c r="U79" s="33"/>
      <c r="V79" s="33"/>
      <c r="W79" s="41"/>
    </row>
    <row r="80" spans="2:34" x14ac:dyDescent="0.25">
      <c r="T80" s="33"/>
      <c r="U80" s="33"/>
      <c r="V80" s="33"/>
      <c r="W80" s="41"/>
    </row>
    <row r="81" spans="20:23" x14ac:dyDescent="0.25">
      <c r="T81" s="33"/>
      <c r="U81" s="33"/>
      <c r="V81" s="33"/>
      <c r="W81" s="41"/>
    </row>
    <row r="82" spans="20:23" x14ac:dyDescent="0.25">
      <c r="T82" s="33"/>
      <c r="U82" s="33"/>
      <c r="V82" s="33"/>
      <c r="W82" s="41"/>
    </row>
    <row r="83" spans="20:23" x14ac:dyDescent="0.25">
      <c r="T83" s="33"/>
      <c r="U83" s="33"/>
      <c r="V83" s="33"/>
      <c r="W83" s="41"/>
    </row>
    <row r="84" spans="20:23" x14ac:dyDescent="0.25">
      <c r="T84" s="33"/>
      <c r="U84" s="33"/>
      <c r="V84" s="33"/>
      <c r="W84" s="41"/>
    </row>
    <row r="85" spans="20:23" x14ac:dyDescent="0.25">
      <c r="T85" s="33"/>
      <c r="U85" s="33"/>
      <c r="V85" s="33"/>
      <c r="W85" s="41"/>
    </row>
    <row r="86" spans="20:23" x14ac:dyDescent="0.25">
      <c r="T86" s="33"/>
      <c r="U86" s="33"/>
      <c r="V86" s="33"/>
      <c r="W86" s="41"/>
    </row>
    <row r="87" spans="20:23" x14ac:dyDescent="0.25">
      <c r="T87" s="33"/>
      <c r="U87" s="33"/>
      <c r="V87" s="33"/>
      <c r="W87" s="41"/>
    </row>
    <row r="88" spans="20:23" x14ac:dyDescent="0.25">
      <c r="T88" s="33"/>
      <c r="U88" s="33"/>
      <c r="V88" s="33"/>
      <c r="W88" s="41"/>
    </row>
    <row r="89" spans="20:23" x14ac:dyDescent="0.25">
      <c r="T89" s="33"/>
      <c r="U89" s="33"/>
      <c r="V89" s="33"/>
      <c r="W89" s="41"/>
    </row>
    <row r="90" spans="20:23" x14ac:dyDescent="0.25">
      <c r="T90" s="33"/>
      <c r="U90" s="33"/>
      <c r="V90" s="33"/>
      <c r="W90" s="41"/>
    </row>
    <row r="91" spans="20:23" x14ac:dyDescent="0.25">
      <c r="T91" s="33"/>
      <c r="U91" s="33"/>
      <c r="V91" s="33"/>
      <c r="W91" s="41"/>
    </row>
    <row r="92" spans="20:23" x14ac:dyDescent="0.25">
      <c r="T92" s="33"/>
      <c r="U92" s="33"/>
      <c r="V92" s="33"/>
      <c r="W92" s="41"/>
    </row>
    <row r="93" spans="20:23" x14ac:dyDescent="0.25">
      <c r="T93" s="33"/>
      <c r="U93" s="33"/>
      <c r="V93" s="33"/>
      <c r="W93" s="41"/>
    </row>
    <row r="94" spans="20:23" x14ac:dyDescent="0.25">
      <c r="T94" s="33"/>
      <c r="U94" s="33"/>
      <c r="V94" s="33"/>
      <c r="W94" s="41"/>
    </row>
    <row r="95" spans="20:23" x14ac:dyDescent="0.25">
      <c r="T95" s="33"/>
      <c r="U95" s="33"/>
      <c r="V95" s="33"/>
      <c r="W95" s="41"/>
    </row>
    <row r="96" spans="20:23" x14ac:dyDescent="0.25">
      <c r="T96" s="33"/>
      <c r="U96" s="33"/>
      <c r="V96" s="33"/>
      <c r="W96" s="41"/>
    </row>
    <row r="97" spans="20:23" x14ac:dyDescent="0.25">
      <c r="T97" s="33"/>
      <c r="U97" s="33"/>
      <c r="V97" s="33"/>
      <c r="W97" s="41"/>
    </row>
    <row r="98" spans="20:23" x14ac:dyDescent="0.25">
      <c r="T98" s="33"/>
      <c r="U98" s="33"/>
      <c r="V98" s="33"/>
      <c r="W98" s="41"/>
    </row>
    <row r="99" spans="20:23" x14ac:dyDescent="0.25">
      <c r="T99" s="33"/>
      <c r="U99" s="33"/>
      <c r="V99" s="33"/>
      <c r="W99" s="41"/>
    </row>
    <row r="100" spans="20:23" x14ac:dyDescent="0.25">
      <c r="T100" s="33"/>
      <c r="U100" s="33"/>
      <c r="V100" s="33"/>
      <c r="W100" s="41"/>
    </row>
    <row r="101" spans="20:23" x14ac:dyDescent="0.25">
      <c r="T101" s="33"/>
      <c r="U101" s="33"/>
      <c r="V101" s="33"/>
      <c r="W101" s="41"/>
    </row>
    <row r="102" spans="20:23" x14ac:dyDescent="0.25">
      <c r="T102" s="33"/>
      <c r="U102" s="33"/>
      <c r="V102" s="33"/>
      <c r="W102" s="41"/>
    </row>
    <row r="103" spans="20:23" x14ac:dyDescent="0.25">
      <c r="T103" s="33"/>
      <c r="U103" s="33"/>
      <c r="V103" s="33"/>
      <c r="W103" s="41"/>
    </row>
    <row r="104" spans="20:23" x14ac:dyDescent="0.25">
      <c r="T104" s="33"/>
      <c r="U104" s="33"/>
      <c r="V104" s="33"/>
      <c r="W104" s="41"/>
    </row>
    <row r="105" spans="20:23" x14ac:dyDescent="0.25">
      <c r="T105" s="33"/>
      <c r="U105" s="33"/>
      <c r="V105" s="33"/>
      <c r="W105" s="41"/>
    </row>
    <row r="106" spans="20:23" x14ac:dyDescent="0.25">
      <c r="T106" s="33"/>
      <c r="U106" s="33"/>
      <c r="V106" s="33"/>
      <c r="W106" s="41"/>
    </row>
    <row r="107" spans="20:23" x14ac:dyDescent="0.25">
      <c r="T107" s="33"/>
      <c r="U107" s="33"/>
      <c r="V107" s="33"/>
      <c r="W107" s="41"/>
    </row>
    <row r="108" spans="20:23" x14ac:dyDescent="0.25">
      <c r="T108" s="33"/>
      <c r="U108" s="33"/>
      <c r="V108" s="33"/>
      <c r="W108" s="41"/>
    </row>
    <row r="109" spans="20:23" x14ac:dyDescent="0.25">
      <c r="T109" s="33"/>
      <c r="U109" s="33"/>
      <c r="V109" s="33"/>
      <c r="W109" s="41"/>
    </row>
    <row r="110" spans="20:23" x14ac:dyDescent="0.25">
      <c r="T110" s="33"/>
      <c r="U110" s="33"/>
      <c r="V110" s="33"/>
      <c r="W110" s="41"/>
    </row>
    <row r="111" spans="20:23" x14ac:dyDescent="0.25">
      <c r="T111" s="33"/>
      <c r="U111" s="33"/>
      <c r="V111" s="33"/>
      <c r="W111" s="41"/>
    </row>
    <row r="112" spans="20:23" x14ac:dyDescent="0.25">
      <c r="T112" s="33"/>
      <c r="U112" s="33"/>
      <c r="V112" s="33"/>
      <c r="W112" s="41"/>
    </row>
    <row r="113" spans="20:23" x14ac:dyDescent="0.25">
      <c r="T113" s="33"/>
      <c r="U113" s="33"/>
      <c r="V113" s="33"/>
      <c r="W113" s="41"/>
    </row>
    <row r="114" spans="20:23" x14ac:dyDescent="0.25">
      <c r="T114" s="33"/>
      <c r="U114" s="33"/>
      <c r="V114" s="33"/>
      <c r="W114" s="41"/>
    </row>
    <row r="115" spans="20:23" x14ac:dyDescent="0.25">
      <c r="T115" s="33"/>
      <c r="U115" s="33"/>
      <c r="V115" s="33"/>
      <c r="W115" s="41"/>
    </row>
    <row r="116" spans="20:23" x14ac:dyDescent="0.25">
      <c r="T116" s="33"/>
      <c r="U116" s="33"/>
      <c r="V116" s="33"/>
      <c r="W116" s="41"/>
    </row>
    <row r="117" spans="20:23" x14ac:dyDescent="0.25">
      <c r="T117" s="33"/>
      <c r="U117" s="33"/>
      <c r="V117" s="33"/>
      <c r="W117" s="41"/>
    </row>
    <row r="118" spans="20:23" x14ac:dyDescent="0.25">
      <c r="T118" s="33"/>
      <c r="U118" s="33"/>
      <c r="V118" s="33"/>
      <c r="W118" s="41"/>
    </row>
    <row r="119" spans="20:23" x14ac:dyDescent="0.25">
      <c r="T119" s="33"/>
      <c r="U119" s="33"/>
      <c r="V119" s="33"/>
      <c r="W119" s="41"/>
    </row>
    <row r="120" spans="20:23" x14ac:dyDescent="0.25">
      <c r="T120" s="33"/>
      <c r="U120" s="33"/>
      <c r="V120" s="33"/>
      <c r="W120" s="41"/>
    </row>
    <row r="121" spans="20:23" x14ac:dyDescent="0.25">
      <c r="T121" s="33"/>
      <c r="U121" s="33"/>
      <c r="V121" s="33"/>
      <c r="W121" s="41"/>
    </row>
    <row r="122" spans="20:23" x14ac:dyDescent="0.25">
      <c r="T122" s="33"/>
      <c r="U122" s="33"/>
      <c r="V122" s="33"/>
      <c r="W122" s="41"/>
    </row>
    <row r="123" spans="20:23" x14ac:dyDescent="0.25">
      <c r="T123" s="33"/>
      <c r="U123" s="33"/>
      <c r="V123" s="33"/>
      <c r="W123" s="41"/>
    </row>
    <row r="124" spans="20:23" x14ac:dyDescent="0.25">
      <c r="T124" s="33"/>
      <c r="U124" s="33"/>
      <c r="V124" s="33"/>
      <c r="W124" s="41"/>
    </row>
    <row r="125" spans="20:23" x14ac:dyDescent="0.25">
      <c r="T125" s="33"/>
      <c r="U125" s="33"/>
      <c r="V125" s="33"/>
      <c r="W125" s="44"/>
    </row>
    <row r="126" spans="20:23" x14ac:dyDescent="0.25">
      <c r="T126" s="33"/>
      <c r="U126" s="33"/>
      <c r="V126" s="33"/>
      <c r="W126" s="33"/>
    </row>
    <row r="127" spans="20:23" x14ac:dyDescent="0.25">
      <c r="T127" s="33"/>
      <c r="U127" s="33"/>
      <c r="V127" s="33"/>
      <c r="W127" s="33"/>
    </row>
    <row r="128" spans="20:23" x14ac:dyDescent="0.25">
      <c r="T128" s="33"/>
      <c r="U128" s="33"/>
      <c r="V128" s="33"/>
      <c r="W128" s="33"/>
    </row>
    <row r="129" spans="20:23" x14ac:dyDescent="0.25">
      <c r="T129" s="33"/>
      <c r="U129" s="33"/>
      <c r="V129" s="33"/>
      <c r="W129" s="33"/>
    </row>
    <row r="130" spans="20:23" x14ac:dyDescent="0.25">
      <c r="T130" s="33"/>
      <c r="U130" s="33"/>
      <c r="V130" s="33"/>
      <c r="W130" s="33"/>
    </row>
    <row r="131" spans="20:23" x14ac:dyDescent="0.25">
      <c r="T131" s="33"/>
      <c r="U131" s="33"/>
      <c r="V131" s="33"/>
      <c r="W131" s="33"/>
    </row>
    <row r="132" spans="20:23" x14ac:dyDescent="0.25">
      <c r="T132" s="33"/>
      <c r="U132" s="33"/>
      <c r="V132" s="33"/>
      <c r="W132" s="33"/>
    </row>
    <row r="133" spans="20:23" x14ac:dyDescent="0.25">
      <c r="T133" s="33"/>
      <c r="U133" s="33"/>
      <c r="V133" s="33"/>
      <c r="W133" s="33"/>
    </row>
    <row r="134" spans="20:23" x14ac:dyDescent="0.25">
      <c r="T134" s="33"/>
      <c r="U134" s="33"/>
      <c r="V134" s="33"/>
      <c r="W134" s="33"/>
    </row>
    <row r="135" spans="20:23" x14ac:dyDescent="0.25">
      <c r="T135" s="33"/>
      <c r="U135" s="33"/>
      <c r="V135" s="33"/>
      <c r="W135" s="33"/>
    </row>
    <row r="136" spans="20:23" x14ac:dyDescent="0.25">
      <c r="T136" s="33"/>
      <c r="U136" s="33"/>
      <c r="V136" s="33"/>
      <c r="W136" s="33"/>
    </row>
    <row r="137" spans="20:23" x14ac:dyDescent="0.25">
      <c r="T137" s="33"/>
      <c r="U137" s="33"/>
      <c r="V137" s="33"/>
      <c r="W137" s="33"/>
    </row>
    <row r="138" spans="20:23" x14ac:dyDescent="0.25">
      <c r="T138" s="33"/>
      <c r="U138" s="33"/>
      <c r="V138" s="33"/>
      <c r="W138" s="33"/>
    </row>
    <row r="139" spans="20:23" x14ac:dyDescent="0.25">
      <c r="T139" s="33"/>
      <c r="U139" s="33"/>
      <c r="V139" s="33"/>
      <c r="W139" s="33"/>
    </row>
    <row r="140" spans="20:23" x14ac:dyDescent="0.25">
      <c r="T140" s="33"/>
      <c r="U140" s="33"/>
      <c r="V140" s="33"/>
      <c r="W140" s="33"/>
    </row>
    <row r="141" spans="20:23" x14ac:dyDescent="0.25">
      <c r="T141" s="33"/>
      <c r="U141" s="33"/>
      <c r="V141" s="33"/>
      <c r="W141" s="33"/>
    </row>
    <row r="142" spans="20:23" x14ac:dyDescent="0.25">
      <c r="T142" s="33"/>
      <c r="U142" s="33"/>
      <c r="V142" s="33"/>
      <c r="W142" s="33"/>
    </row>
    <row r="143" spans="20:23" x14ac:dyDescent="0.25">
      <c r="T143" s="33"/>
      <c r="U143" s="33"/>
      <c r="V143" s="33"/>
      <c r="W143" s="33"/>
    </row>
    <row r="144" spans="20:23" x14ac:dyDescent="0.25">
      <c r="T144" s="33"/>
      <c r="U144" s="33"/>
      <c r="V144" s="33"/>
      <c r="W144" s="33"/>
    </row>
    <row r="145" spans="20:23" x14ac:dyDescent="0.25">
      <c r="T145" s="33"/>
      <c r="U145" s="33"/>
      <c r="V145" s="33"/>
      <c r="W145" s="33"/>
    </row>
    <row r="146" spans="20:23" x14ac:dyDescent="0.25">
      <c r="T146" s="33"/>
      <c r="U146" s="33"/>
      <c r="V146" s="33"/>
      <c r="W146" s="33"/>
    </row>
    <row r="147" spans="20:23" x14ac:dyDescent="0.25">
      <c r="T147" s="33"/>
      <c r="U147" s="33"/>
      <c r="V147" s="33"/>
      <c r="W147" s="33"/>
    </row>
    <row r="148" spans="20:23" x14ac:dyDescent="0.25">
      <c r="T148" s="33"/>
      <c r="U148" s="33"/>
      <c r="V148" s="33"/>
      <c r="W148" s="33"/>
    </row>
  </sheetData>
  <mergeCells count="10">
    <mergeCell ref="Y2:AB2"/>
    <mergeCell ref="Y1:AH1"/>
    <mergeCell ref="AD2:AH2"/>
    <mergeCell ref="AJ3:AN3"/>
    <mergeCell ref="C2:E2"/>
    <mergeCell ref="H2:L2"/>
    <mergeCell ref="B1:L1"/>
    <mergeCell ref="O2:Q2"/>
    <mergeCell ref="S2:W2"/>
    <mergeCell ref="O1:W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4"/>
  <sheetViews>
    <sheetView topLeftCell="AP3" zoomScale="55" zoomScaleNormal="55" workbookViewId="0">
      <selection activeCell="BB10" sqref="BB10"/>
    </sheetView>
  </sheetViews>
  <sheetFormatPr baseColWidth="10" defaultRowHeight="15" x14ac:dyDescent="0.25"/>
  <cols>
    <col min="1" max="16384" width="11.42578125" style="5"/>
  </cols>
  <sheetData>
    <row r="1" spans="1:67" ht="15" customHeight="1" x14ac:dyDescent="0.25">
      <c r="A1" s="23" t="s">
        <v>7</v>
      </c>
      <c r="B1" s="23"/>
      <c r="C1" s="23"/>
      <c r="D1" s="23"/>
      <c r="F1" s="23" t="s">
        <v>8</v>
      </c>
      <c r="G1" s="23"/>
      <c r="H1" s="23"/>
      <c r="I1" s="23"/>
      <c r="K1" s="23" t="s">
        <v>9</v>
      </c>
      <c r="L1" s="23"/>
      <c r="M1" s="23"/>
      <c r="N1" s="23"/>
      <c r="P1" s="23" t="s">
        <v>10</v>
      </c>
      <c r="Q1" s="23"/>
      <c r="R1" s="23"/>
      <c r="S1" s="23"/>
      <c r="U1" s="23" t="s">
        <v>11</v>
      </c>
      <c r="V1" s="23"/>
      <c r="W1" s="23"/>
      <c r="X1" s="23"/>
      <c r="Z1" s="23" t="s">
        <v>12</v>
      </c>
      <c r="AA1" s="23"/>
      <c r="AB1" s="23"/>
      <c r="AC1" s="23"/>
      <c r="AE1" s="23" t="s">
        <v>13</v>
      </c>
      <c r="AF1" s="23"/>
      <c r="AG1" s="23"/>
      <c r="AH1" s="23"/>
      <c r="AJ1" s="23" t="s">
        <v>14</v>
      </c>
      <c r="AK1" s="23"/>
      <c r="AL1" s="23"/>
      <c r="AM1" s="23"/>
      <c r="AO1" s="23" t="s">
        <v>15</v>
      </c>
      <c r="AP1" s="23"/>
      <c r="AQ1" s="23"/>
      <c r="AR1" s="23"/>
      <c r="AT1" s="23" t="s">
        <v>16</v>
      </c>
      <c r="AU1" s="23"/>
      <c r="AV1" s="23"/>
      <c r="AW1" s="23"/>
      <c r="AY1" s="23" t="s">
        <v>17</v>
      </c>
      <c r="AZ1" s="23"/>
      <c r="BA1" s="23"/>
      <c r="BB1" s="23"/>
      <c r="BD1" s="23" t="s">
        <v>18</v>
      </c>
      <c r="BE1" s="23"/>
      <c r="BF1" s="23"/>
      <c r="BG1" s="23"/>
    </row>
    <row r="2" spans="1:67" x14ac:dyDescent="0.25">
      <c r="A2" s="23"/>
      <c r="B2" s="23"/>
      <c r="C2" s="23"/>
      <c r="D2" s="23"/>
      <c r="F2" s="23"/>
      <c r="G2" s="23"/>
      <c r="H2" s="23"/>
      <c r="I2" s="23"/>
      <c r="K2" s="23"/>
      <c r="L2" s="23"/>
      <c r="M2" s="23"/>
      <c r="N2" s="23"/>
      <c r="P2" s="23"/>
      <c r="Q2" s="23"/>
      <c r="R2" s="23"/>
      <c r="S2" s="23"/>
      <c r="U2" s="23"/>
      <c r="V2" s="23"/>
      <c r="W2" s="23"/>
      <c r="X2" s="23"/>
      <c r="Z2" s="23"/>
      <c r="AA2" s="23"/>
      <c r="AB2" s="23"/>
      <c r="AC2" s="23"/>
      <c r="AE2" s="23"/>
      <c r="AF2" s="23"/>
      <c r="AG2" s="23"/>
      <c r="AH2" s="23"/>
      <c r="AJ2" s="23"/>
      <c r="AK2" s="23"/>
      <c r="AL2" s="23"/>
      <c r="AM2" s="23"/>
      <c r="AO2" s="23"/>
      <c r="AP2" s="23"/>
      <c r="AQ2" s="23"/>
      <c r="AR2" s="23"/>
      <c r="AT2" s="23"/>
      <c r="AU2" s="23"/>
      <c r="AV2" s="23"/>
      <c r="AW2" s="23"/>
      <c r="AY2" s="23"/>
      <c r="AZ2" s="23"/>
      <c r="BA2" s="23"/>
      <c r="BB2" s="23"/>
      <c r="BD2" s="23"/>
      <c r="BE2" s="23"/>
      <c r="BF2" s="23"/>
      <c r="BG2" s="23"/>
    </row>
    <row r="3" spans="1:67" x14ac:dyDescent="0.25">
      <c r="A3" s="7">
        <v>0</v>
      </c>
      <c r="B3" s="7">
        <v>294.75405899999998</v>
      </c>
      <c r="C3" s="7">
        <v>306.39999999999998</v>
      </c>
      <c r="D3" s="8">
        <f>ABS((C3-B3)/C3)</f>
        <v>3.8008945822454288E-2</v>
      </c>
      <c r="F3" s="11">
        <v>0</v>
      </c>
      <c r="G3" s="11">
        <v>316.211365</v>
      </c>
      <c r="H3" s="11">
        <v>301.27999999999997</v>
      </c>
      <c r="I3" s="8">
        <f>ABS((H3-G3)/H3)</f>
        <v>4.9559761683483902E-2</v>
      </c>
      <c r="K3" s="11">
        <v>0</v>
      </c>
      <c r="L3" s="11">
        <v>304.24984699999999</v>
      </c>
      <c r="M3" s="11">
        <v>306.24</v>
      </c>
      <c r="N3" s="8">
        <f>ABS((M3-L3)/M3)</f>
        <v>6.4986709770115617E-3</v>
      </c>
      <c r="P3" s="11">
        <v>0</v>
      </c>
      <c r="Q3" s="11">
        <v>289.09613000000002</v>
      </c>
      <c r="R3" s="11">
        <v>307.12</v>
      </c>
      <c r="S3" s="8">
        <f>ABS((R3-Q3)/R3)</f>
        <v>5.8686734826777769E-2</v>
      </c>
      <c r="U3" s="11">
        <v>0</v>
      </c>
      <c r="V3" s="11">
        <v>289.649475</v>
      </c>
      <c r="W3" s="11">
        <v>324.01</v>
      </c>
      <c r="X3" s="8">
        <f>ABS((W3-V3)/W3)</f>
        <v>0.10604773000833306</v>
      </c>
      <c r="Z3" s="11">
        <v>0</v>
      </c>
      <c r="AA3" s="11">
        <v>305.634613</v>
      </c>
      <c r="AB3" s="11">
        <v>320.82</v>
      </c>
      <c r="AC3" s="8">
        <f>ABS((AB3-AA3)/AB3)</f>
        <v>4.7333043451156388E-2</v>
      </c>
      <c r="AE3" s="11">
        <v>0</v>
      </c>
      <c r="AF3" s="11">
        <v>354.948486</v>
      </c>
      <c r="AG3" s="11">
        <v>355.08</v>
      </c>
      <c r="AH3" s="8">
        <f>ABS((AG3-AF3)/AG3)</f>
        <v>3.7037850625206006E-4</v>
      </c>
      <c r="AJ3" s="11">
        <v>0</v>
      </c>
      <c r="AK3" s="11">
        <v>340.29083300000002</v>
      </c>
      <c r="AL3" s="11">
        <v>365.99</v>
      </c>
      <c r="AM3" s="8">
        <f>ABS((AL3-AK3)/AL3)</f>
        <v>7.0218221809339024E-2</v>
      </c>
      <c r="AO3" s="11">
        <v>0</v>
      </c>
      <c r="AP3" s="11">
        <v>342.19494600000002</v>
      </c>
      <c r="AQ3" s="11">
        <v>314.07</v>
      </c>
      <c r="AR3" s="8">
        <f>ABS((AQ3-AP3)/AQ3)</f>
        <v>8.9549928359919831E-2</v>
      </c>
      <c r="AT3" s="11">
        <v>0</v>
      </c>
      <c r="AU3" s="11">
        <v>331.19097900000003</v>
      </c>
      <c r="AV3" s="11">
        <v>305.72000000000003</v>
      </c>
      <c r="AW3" s="8">
        <f>ABS((AV3-AU3)/AV3)</f>
        <v>8.3314729163940851E-2</v>
      </c>
      <c r="AY3" s="11">
        <v>0</v>
      </c>
      <c r="AZ3" s="11">
        <v>320.350098</v>
      </c>
      <c r="BA3" s="11">
        <v>306.14</v>
      </c>
      <c r="BB3" s="8">
        <f>ABS((BA3-AZ3)/BA3)</f>
        <v>4.6416992225779108E-2</v>
      </c>
      <c r="BD3" s="11">
        <v>0</v>
      </c>
      <c r="BE3" s="11">
        <v>307.35363799999999</v>
      </c>
      <c r="BF3" s="11">
        <v>301.18</v>
      </c>
      <c r="BG3" s="8">
        <f>ABS((BF3-BE3)/BF3)</f>
        <v>2.0498167208977961E-2</v>
      </c>
    </row>
    <row r="4" spans="1:67" x14ac:dyDescent="0.25">
      <c r="A4" s="7">
        <v>1</v>
      </c>
      <c r="B4" s="7">
        <v>312.36880500000001</v>
      </c>
      <c r="C4" s="9">
        <v>287.72000000000003</v>
      </c>
      <c r="D4" s="8">
        <f t="shared" ref="D4:D31" si="0">ABS((C4-B4)/C4)</f>
        <v>8.5669418184345814E-2</v>
      </c>
      <c r="F4" s="11">
        <v>1</v>
      </c>
      <c r="G4" s="11">
        <v>314.911652</v>
      </c>
      <c r="H4" s="11">
        <v>283.64</v>
      </c>
      <c r="I4" s="8">
        <f t="shared" ref="I4:I31" si="1">ABS((H4-G4)/H4)</f>
        <v>0.11025120575377245</v>
      </c>
      <c r="K4" s="11">
        <v>1</v>
      </c>
      <c r="L4" s="11">
        <v>301.879639</v>
      </c>
      <c r="M4" s="11">
        <v>281.64999999999998</v>
      </c>
      <c r="N4" s="8">
        <f t="shared" ref="N4:N31" si="2">ABS((M4-L4)/M4)</f>
        <v>7.1825453577134823E-2</v>
      </c>
      <c r="P4" s="11">
        <v>1</v>
      </c>
      <c r="Q4" s="11">
        <v>290.83831800000002</v>
      </c>
      <c r="R4" s="11">
        <v>282.62</v>
      </c>
      <c r="S4" s="8">
        <f t="shared" ref="S4:S31" si="3">ABS((R4-Q4)/R4)</f>
        <v>2.9079038992286501E-2</v>
      </c>
      <c r="U4" s="11">
        <v>1</v>
      </c>
      <c r="V4" s="11">
        <v>299.655396</v>
      </c>
      <c r="W4" s="11">
        <v>269.70999999999998</v>
      </c>
      <c r="X4" s="8">
        <f t="shared" ref="X4:X31" si="4">ABS((W4-V4)/W4)</f>
        <v>0.11102812650624752</v>
      </c>
      <c r="Z4" s="11">
        <v>1</v>
      </c>
      <c r="AA4" s="11">
        <v>298.38696299999998</v>
      </c>
      <c r="AB4" s="11">
        <v>251.23</v>
      </c>
      <c r="AC4" s="8">
        <f t="shared" ref="AC4:AC31" si="5">ABS((AB4-AA4)/AB4)</f>
        <v>0.18770434661465588</v>
      </c>
      <c r="AE4" s="11">
        <v>1</v>
      </c>
      <c r="AF4" s="11">
        <v>322.04424999999998</v>
      </c>
      <c r="AG4" s="11">
        <v>281.27999999999997</v>
      </c>
      <c r="AH4" s="8">
        <f t="shared" ref="AH4:AH31" si="6">ABS((AG4-AF4)/AG4)</f>
        <v>0.1449240969852105</v>
      </c>
      <c r="AJ4" s="11">
        <v>1</v>
      </c>
      <c r="AK4" s="11">
        <v>283.301086</v>
      </c>
      <c r="AL4" s="11">
        <v>282.10000000000002</v>
      </c>
      <c r="AM4" s="8">
        <f t="shared" ref="AM4:AM31" si="7">ABS((AL4-AK4)/AL4)</f>
        <v>4.2576604041119287E-3</v>
      </c>
      <c r="AO4" s="11">
        <v>1</v>
      </c>
      <c r="AP4" s="11">
        <v>311.92965700000002</v>
      </c>
      <c r="AQ4" s="11">
        <v>288.77999999999997</v>
      </c>
      <c r="AR4" s="8">
        <f t="shared" ref="AR4:AR31" si="8">ABS((AQ4-AP4)/AQ4)</f>
        <v>8.0163643604127879E-2</v>
      </c>
      <c r="AT4" s="11">
        <v>1</v>
      </c>
      <c r="AU4" s="11">
        <v>304.142517</v>
      </c>
      <c r="AV4" s="11">
        <v>259.68</v>
      </c>
      <c r="AW4" s="8">
        <f t="shared" ref="AW4:AW31" si="9">ABS((AV4-AU4)/AV4)</f>
        <v>0.17122041358595191</v>
      </c>
      <c r="AY4" s="11">
        <v>1</v>
      </c>
      <c r="AZ4" s="11">
        <v>289.61999500000002</v>
      </c>
      <c r="BA4" s="11">
        <v>180.71</v>
      </c>
      <c r="BB4" s="8">
        <f t="shared" ref="BB4:BB31" si="10">ABS((BA4-AZ4)/BA4)</f>
        <v>0.60267829671849926</v>
      </c>
      <c r="BD4" s="11">
        <v>1</v>
      </c>
      <c r="BE4" s="11">
        <v>280.184845</v>
      </c>
      <c r="BF4" s="11">
        <v>116.28</v>
      </c>
      <c r="BG4" s="10">
        <f t="shared" ref="BG4:BG31" si="11">ABS((BF4-BE4)/BF4)</f>
        <v>1.4095703904368764</v>
      </c>
    </row>
    <row r="5" spans="1:67" x14ac:dyDescent="0.25">
      <c r="A5" s="7">
        <v>2</v>
      </c>
      <c r="B5" s="7">
        <v>290.23959400000001</v>
      </c>
      <c r="C5" s="9">
        <v>88.07</v>
      </c>
      <c r="D5" s="10">
        <f t="shared" si="0"/>
        <v>2.2955557397524702</v>
      </c>
      <c r="F5" s="11">
        <v>2</v>
      </c>
      <c r="G5" s="11">
        <v>299.00021400000003</v>
      </c>
      <c r="H5" s="11">
        <v>208.91</v>
      </c>
      <c r="I5" s="8">
        <f t="shared" si="1"/>
        <v>0.43123935666076318</v>
      </c>
      <c r="K5" s="11">
        <v>2</v>
      </c>
      <c r="L5" s="11">
        <v>273.513397</v>
      </c>
      <c r="M5" s="11">
        <v>164.94</v>
      </c>
      <c r="N5" s="8">
        <f t="shared" si="2"/>
        <v>0.65825995513520064</v>
      </c>
      <c r="P5" s="11">
        <v>2</v>
      </c>
      <c r="Q5" s="11">
        <v>249.55308500000001</v>
      </c>
      <c r="R5" s="11">
        <v>87.09</v>
      </c>
      <c r="S5" s="10">
        <f t="shared" si="3"/>
        <v>1.8654619933402228</v>
      </c>
      <c r="U5" s="11">
        <v>2</v>
      </c>
      <c r="V5" s="11">
        <v>258.27923600000003</v>
      </c>
      <c r="W5" s="11">
        <v>84.58</v>
      </c>
      <c r="X5" s="10">
        <f t="shared" si="4"/>
        <v>2.0536679593284468</v>
      </c>
      <c r="Z5" s="11">
        <v>2</v>
      </c>
      <c r="AA5" s="11">
        <v>241.563614</v>
      </c>
      <c r="AB5" s="11">
        <v>96.89</v>
      </c>
      <c r="AC5" s="10">
        <f t="shared" si="5"/>
        <v>1.4931738466301991</v>
      </c>
      <c r="AE5" s="11">
        <v>2</v>
      </c>
      <c r="AF5" s="11">
        <v>266.720032</v>
      </c>
      <c r="AG5" s="11">
        <v>170.25</v>
      </c>
      <c r="AH5" s="10">
        <f t="shared" si="6"/>
        <v>0.56663748604992659</v>
      </c>
      <c r="AJ5" s="11">
        <v>2</v>
      </c>
      <c r="AK5" s="11">
        <v>206.00663800000001</v>
      </c>
      <c r="AL5" s="11">
        <v>166.08</v>
      </c>
      <c r="AM5" s="8">
        <f t="shared" si="7"/>
        <v>0.24040605732177261</v>
      </c>
      <c r="AO5" s="11">
        <v>2</v>
      </c>
      <c r="AP5" s="11">
        <v>251.42311100000001</v>
      </c>
      <c r="AQ5" s="11">
        <v>111.54</v>
      </c>
      <c r="AR5" s="10">
        <f t="shared" si="8"/>
        <v>1.2541071454186836</v>
      </c>
      <c r="AT5" s="11">
        <v>2</v>
      </c>
      <c r="AU5" s="11">
        <v>237.87835699999999</v>
      </c>
      <c r="AV5" s="11">
        <v>111.46</v>
      </c>
      <c r="AW5" s="10">
        <f t="shared" si="9"/>
        <v>1.1342038130270951</v>
      </c>
      <c r="AY5" s="11">
        <v>2</v>
      </c>
      <c r="AZ5" s="11">
        <v>223.80827300000001</v>
      </c>
      <c r="BA5" s="11">
        <v>188.74</v>
      </c>
      <c r="BB5" s="8">
        <f t="shared" si="10"/>
        <v>0.18580201864999471</v>
      </c>
      <c r="BD5" s="11">
        <v>2</v>
      </c>
      <c r="BE5" s="11">
        <v>236.81303399999999</v>
      </c>
      <c r="BF5" s="11">
        <v>218.56</v>
      </c>
      <c r="BG5" s="8">
        <f t="shared" si="11"/>
        <v>8.351497986822834E-2</v>
      </c>
    </row>
    <row r="6" spans="1:67" x14ac:dyDescent="0.25">
      <c r="A6" s="7">
        <v>3</v>
      </c>
      <c r="B6" s="7">
        <v>219.74067700000001</v>
      </c>
      <c r="C6" s="9">
        <v>271.31</v>
      </c>
      <c r="D6" s="8">
        <f t="shared" si="0"/>
        <v>0.19007527551509343</v>
      </c>
      <c r="F6" s="11">
        <v>3</v>
      </c>
      <c r="G6" s="11">
        <v>281.42971799999998</v>
      </c>
      <c r="H6" s="11">
        <v>265.52</v>
      </c>
      <c r="I6" s="8">
        <f t="shared" si="1"/>
        <v>5.9919094606809276E-2</v>
      </c>
      <c r="K6" s="11">
        <v>3</v>
      </c>
      <c r="L6" s="11">
        <v>266.54046599999998</v>
      </c>
      <c r="M6" s="11">
        <v>259.02</v>
      </c>
      <c r="N6" s="8">
        <f t="shared" si="2"/>
        <v>2.9034306231179058E-2</v>
      </c>
      <c r="P6" s="11">
        <v>3</v>
      </c>
      <c r="Q6" s="11">
        <v>235.22554</v>
      </c>
      <c r="R6" s="11">
        <v>264.91000000000003</v>
      </c>
      <c r="S6" s="8">
        <f t="shared" si="3"/>
        <v>0.11205488656524867</v>
      </c>
      <c r="U6" s="11">
        <v>3</v>
      </c>
      <c r="V6" s="11">
        <v>253.273697</v>
      </c>
      <c r="W6" s="11">
        <v>258.7</v>
      </c>
      <c r="X6" s="8">
        <f t="shared" si="4"/>
        <v>2.0975272516428257E-2</v>
      </c>
      <c r="Z6" s="11">
        <v>3</v>
      </c>
      <c r="AA6" s="11">
        <v>246.67678799999999</v>
      </c>
      <c r="AB6" s="11">
        <v>276.55</v>
      </c>
      <c r="AC6" s="8">
        <f t="shared" si="5"/>
        <v>0.10802101609112284</v>
      </c>
      <c r="AE6" s="11">
        <v>3</v>
      </c>
      <c r="AF6" s="11">
        <v>207.84513899999999</v>
      </c>
      <c r="AG6" s="11">
        <v>273.64</v>
      </c>
      <c r="AH6" s="8">
        <f t="shared" si="6"/>
        <v>0.24044314062271599</v>
      </c>
      <c r="AJ6" s="11">
        <v>3</v>
      </c>
      <c r="AK6" s="11">
        <v>213.935181</v>
      </c>
      <c r="AL6" s="11">
        <v>301.79000000000002</v>
      </c>
      <c r="AM6" s="8">
        <f t="shared" si="7"/>
        <v>0.29111242585904112</v>
      </c>
      <c r="AO6" s="11">
        <v>3</v>
      </c>
      <c r="AP6" s="11">
        <v>179.296783</v>
      </c>
      <c r="AQ6" s="11">
        <v>307.44</v>
      </c>
      <c r="AR6" s="8">
        <f t="shared" si="8"/>
        <v>0.41680723718449125</v>
      </c>
      <c r="AT6" s="11">
        <v>3</v>
      </c>
      <c r="AU6" s="11">
        <v>209.91146900000001</v>
      </c>
      <c r="AV6" s="11">
        <v>332.61</v>
      </c>
      <c r="AW6" s="8">
        <f t="shared" si="9"/>
        <v>0.36889609753164365</v>
      </c>
      <c r="AY6" s="11">
        <v>3</v>
      </c>
      <c r="AZ6" s="11">
        <v>268.126801</v>
      </c>
      <c r="BA6" s="11">
        <v>345.83</v>
      </c>
      <c r="BB6" s="8">
        <f t="shared" si="10"/>
        <v>0.22468611456495963</v>
      </c>
      <c r="BD6" s="11">
        <v>3</v>
      </c>
      <c r="BE6" s="11">
        <v>294.186981</v>
      </c>
      <c r="BF6" s="11">
        <v>328.56</v>
      </c>
      <c r="BG6" s="8">
        <f t="shared" si="11"/>
        <v>0.10461717494521548</v>
      </c>
    </row>
    <row r="7" spans="1:67" x14ac:dyDescent="0.25">
      <c r="A7" s="7">
        <v>4</v>
      </c>
      <c r="B7" s="7">
        <v>331.87750199999999</v>
      </c>
      <c r="C7" s="9">
        <v>445</v>
      </c>
      <c r="D7" s="8">
        <f t="shared" si="0"/>
        <v>0.25420786067415729</v>
      </c>
      <c r="F7" s="11">
        <v>4</v>
      </c>
      <c r="G7" s="11">
        <v>337.19140599999997</v>
      </c>
      <c r="H7" s="11">
        <v>380.88</v>
      </c>
      <c r="I7" s="8">
        <f t="shared" si="1"/>
        <v>0.11470435307708471</v>
      </c>
      <c r="K7" s="11">
        <v>4</v>
      </c>
      <c r="L7" s="11">
        <v>324.69329800000003</v>
      </c>
      <c r="M7" s="11">
        <v>323.83999999999997</v>
      </c>
      <c r="N7" s="8">
        <f t="shared" si="2"/>
        <v>2.6349370059290146E-3</v>
      </c>
      <c r="P7" s="11">
        <v>4</v>
      </c>
      <c r="Q7" s="11">
        <v>330.41632099999998</v>
      </c>
      <c r="R7" s="11">
        <v>317.27999999999997</v>
      </c>
      <c r="S7" s="8">
        <f t="shared" si="3"/>
        <v>4.1402928013111483E-2</v>
      </c>
      <c r="U7" s="11">
        <v>4</v>
      </c>
      <c r="V7" s="11">
        <v>330.76895100000002</v>
      </c>
      <c r="W7" s="11">
        <v>313.29000000000002</v>
      </c>
      <c r="X7" s="8">
        <f t="shared" si="4"/>
        <v>5.5791602030067972E-2</v>
      </c>
      <c r="Z7" s="11">
        <v>4</v>
      </c>
      <c r="AA7" s="11">
        <v>333.13876299999998</v>
      </c>
      <c r="AB7" s="11">
        <v>323.43</v>
      </c>
      <c r="AC7" s="8">
        <f t="shared" si="5"/>
        <v>3.0018127570107831E-2</v>
      </c>
      <c r="AE7" s="11">
        <v>4</v>
      </c>
      <c r="AF7" s="11">
        <v>328.70220899999998</v>
      </c>
      <c r="AG7" s="11">
        <v>537.35</v>
      </c>
      <c r="AH7" s="8">
        <f t="shared" si="6"/>
        <v>0.38829029682702154</v>
      </c>
      <c r="AJ7" s="11">
        <v>4</v>
      </c>
      <c r="AK7" s="11">
        <v>345.82354700000002</v>
      </c>
      <c r="AL7" s="11">
        <v>477.99</v>
      </c>
      <c r="AM7" s="8">
        <f t="shared" si="7"/>
        <v>0.27650464026444066</v>
      </c>
      <c r="AO7" s="11">
        <v>4</v>
      </c>
      <c r="AP7" s="11">
        <v>309.09762599999999</v>
      </c>
      <c r="AQ7" s="11">
        <v>439.6</v>
      </c>
      <c r="AR7" s="8">
        <f t="shared" si="8"/>
        <v>0.29686618289353967</v>
      </c>
      <c r="AT7" s="11">
        <v>4</v>
      </c>
      <c r="AU7" s="11">
        <v>324.23928799999999</v>
      </c>
      <c r="AV7" s="11">
        <v>415.79</v>
      </c>
      <c r="AW7" s="8">
        <f t="shared" si="9"/>
        <v>0.22018497799369882</v>
      </c>
      <c r="AY7" s="11">
        <v>4</v>
      </c>
      <c r="AZ7" s="11">
        <v>330.59533699999997</v>
      </c>
      <c r="BA7" s="11">
        <v>416.9</v>
      </c>
      <c r="BB7" s="8">
        <f t="shared" si="10"/>
        <v>0.20701526265291439</v>
      </c>
      <c r="BD7" s="11">
        <v>4</v>
      </c>
      <c r="BE7" s="11">
        <v>324.23486300000002</v>
      </c>
      <c r="BF7" s="11">
        <v>360.68</v>
      </c>
      <c r="BG7" s="8">
        <f t="shared" si="11"/>
        <v>0.1010456277032272</v>
      </c>
    </row>
    <row r="8" spans="1:67" x14ac:dyDescent="0.25">
      <c r="A8" s="7">
        <v>5</v>
      </c>
      <c r="B8" s="7">
        <v>351.11148100000003</v>
      </c>
      <c r="C8" s="9">
        <v>339.08</v>
      </c>
      <c r="D8" s="8">
        <f t="shared" si="0"/>
        <v>3.5482720891825061E-2</v>
      </c>
      <c r="F8" s="11">
        <v>5</v>
      </c>
      <c r="G8" s="11">
        <v>338.23037699999998</v>
      </c>
      <c r="H8" s="11">
        <v>332.12</v>
      </c>
      <c r="I8" s="8">
        <f t="shared" si="1"/>
        <v>1.8398100084306791E-2</v>
      </c>
      <c r="K8" s="11">
        <v>5</v>
      </c>
      <c r="L8" s="11">
        <v>339.299286</v>
      </c>
      <c r="M8" s="11">
        <v>334.46</v>
      </c>
      <c r="N8" s="8">
        <f t="shared" si="2"/>
        <v>1.4468952939066004E-2</v>
      </c>
      <c r="P8" s="11">
        <v>5</v>
      </c>
      <c r="Q8" s="11">
        <v>347.35494999999997</v>
      </c>
      <c r="R8" s="11">
        <v>323.73</v>
      </c>
      <c r="S8" s="8">
        <f t="shared" si="3"/>
        <v>7.2977326784666091E-2</v>
      </c>
      <c r="U8" s="11">
        <v>5</v>
      </c>
      <c r="V8" s="11">
        <v>338.669556</v>
      </c>
      <c r="W8" s="11">
        <v>321.32</v>
      </c>
      <c r="X8" s="8">
        <f t="shared" si="4"/>
        <v>5.3994634632142435E-2</v>
      </c>
      <c r="Z8" s="11">
        <v>5</v>
      </c>
      <c r="AA8" s="11">
        <v>358.778076</v>
      </c>
      <c r="AB8" s="11">
        <v>338.82</v>
      </c>
      <c r="AC8" s="8">
        <f t="shared" si="5"/>
        <v>5.8904657340180647E-2</v>
      </c>
      <c r="AE8" s="11">
        <v>5</v>
      </c>
      <c r="AF8" s="11">
        <v>364.68264799999997</v>
      </c>
      <c r="AG8" s="11">
        <v>467.44</v>
      </c>
      <c r="AH8" s="8">
        <f t="shared" si="6"/>
        <v>0.21983003594044162</v>
      </c>
      <c r="AJ8" s="11">
        <v>5</v>
      </c>
      <c r="AK8" s="11">
        <v>367.93237299999998</v>
      </c>
      <c r="AL8" s="11">
        <v>342.23</v>
      </c>
      <c r="AM8" s="8">
        <f t="shared" si="7"/>
        <v>7.5102629810361352E-2</v>
      </c>
      <c r="AO8" s="11">
        <v>5</v>
      </c>
      <c r="AP8" s="11">
        <v>341.59442100000001</v>
      </c>
      <c r="AQ8" s="11">
        <v>295.89</v>
      </c>
      <c r="AR8" s="8">
        <f t="shared" si="8"/>
        <v>0.15446422995031947</v>
      </c>
      <c r="AT8" s="11">
        <v>5</v>
      </c>
      <c r="AU8" s="11">
        <v>352.53949</v>
      </c>
      <c r="AV8" s="11">
        <v>342</v>
      </c>
      <c r="AW8" s="8">
        <f t="shared" si="9"/>
        <v>3.0817222222222225E-2</v>
      </c>
      <c r="AY8" s="11">
        <v>5</v>
      </c>
      <c r="AZ8" s="11">
        <v>362.70095800000001</v>
      </c>
      <c r="BA8" s="11">
        <v>323.08</v>
      </c>
      <c r="BB8" s="8">
        <f t="shared" si="10"/>
        <v>0.12263513061780373</v>
      </c>
      <c r="BD8" s="11">
        <v>5</v>
      </c>
      <c r="BE8" s="11">
        <v>352.81994600000002</v>
      </c>
      <c r="BF8" s="11">
        <v>332.35</v>
      </c>
      <c r="BG8" s="8">
        <f t="shared" si="11"/>
        <v>6.1591533022416101E-2</v>
      </c>
    </row>
    <row r="9" spans="1:67" x14ac:dyDescent="0.25">
      <c r="A9" s="7">
        <v>6</v>
      </c>
      <c r="B9" s="7">
        <v>341.57269300000002</v>
      </c>
      <c r="C9" s="9">
        <v>292.83</v>
      </c>
      <c r="D9" s="8">
        <f t="shared" si="0"/>
        <v>0.16645389133627031</v>
      </c>
      <c r="F9" s="11">
        <v>6</v>
      </c>
      <c r="G9" s="11">
        <v>324.89630099999999</v>
      </c>
      <c r="H9" s="11">
        <v>287</v>
      </c>
      <c r="I9" s="8">
        <f t="shared" si="1"/>
        <v>0.13204286062717768</v>
      </c>
      <c r="K9" s="11">
        <v>6</v>
      </c>
      <c r="L9" s="11">
        <v>323.506348</v>
      </c>
      <c r="M9" s="11">
        <v>286.85000000000002</v>
      </c>
      <c r="N9" s="8">
        <f t="shared" si="2"/>
        <v>0.1277892557085584</v>
      </c>
      <c r="P9" s="11">
        <v>6</v>
      </c>
      <c r="Q9" s="11">
        <v>324.796875</v>
      </c>
      <c r="R9" s="11">
        <v>286.51</v>
      </c>
      <c r="S9" s="8">
        <f t="shared" si="3"/>
        <v>0.133631897665003</v>
      </c>
      <c r="U9" s="11">
        <v>6</v>
      </c>
      <c r="V9" s="11">
        <v>316.479919</v>
      </c>
      <c r="W9" s="11">
        <v>286.31</v>
      </c>
      <c r="X9" s="8">
        <f t="shared" si="4"/>
        <v>0.1053750096049736</v>
      </c>
      <c r="Z9" s="11">
        <v>6</v>
      </c>
      <c r="AA9" s="11">
        <v>330.114777</v>
      </c>
      <c r="AB9" s="11">
        <v>291.35000000000002</v>
      </c>
      <c r="AC9" s="8">
        <f t="shared" si="5"/>
        <v>0.13305226360048045</v>
      </c>
      <c r="AE9" s="11">
        <v>6</v>
      </c>
      <c r="AF9" s="11">
        <v>351.82574499999998</v>
      </c>
      <c r="AG9" s="11">
        <v>278.51</v>
      </c>
      <c r="AH9" s="8">
        <f t="shared" si="6"/>
        <v>0.26324277404761048</v>
      </c>
      <c r="AJ9" s="11">
        <v>6</v>
      </c>
      <c r="AK9" s="11">
        <v>336.68579099999999</v>
      </c>
      <c r="AL9" s="11">
        <v>278.81</v>
      </c>
      <c r="AM9" s="8">
        <f t="shared" si="7"/>
        <v>0.2075814748394964</v>
      </c>
      <c r="AO9" s="11">
        <v>6</v>
      </c>
      <c r="AP9" s="11">
        <v>329.48010299999999</v>
      </c>
      <c r="AQ9" s="11">
        <v>294.64</v>
      </c>
      <c r="AR9" s="8">
        <f t="shared" si="8"/>
        <v>0.11824634469182732</v>
      </c>
      <c r="AT9" s="11">
        <v>6</v>
      </c>
      <c r="AU9" s="11">
        <v>327.00320399999998</v>
      </c>
      <c r="AV9" s="11">
        <v>288.16000000000003</v>
      </c>
      <c r="AW9" s="8">
        <f t="shared" si="9"/>
        <v>0.13479734869516918</v>
      </c>
      <c r="AY9" s="11">
        <v>6</v>
      </c>
      <c r="AZ9" s="11">
        <v>327.49438500000002</v>
      </c>
      <c r="BA9" s="11">
        <v>280.32</v>
      </c>
      <c r="BB9" s="8">
        <f t="shared" si="10"/>
        <v>0.16828761772260284</v>
      </c>
      <c r="BD9" s="11">
        <v>6</v>
      </c>
      <c r="BE9" s="11">
        <v>311.66110200000003</v>
      </c>
      <c r="BF9" s="11">
        <v>290.01</v>
      </c>
      <c r="BG9" s="8">
        <f t="shared" si="11"/>
        <v>7.4656398055239603E-2</v>
      </c>
    </row>
    <row r="10" spans="1:67" x14ac:dyDescent="0.25">
      <c r="A10" s="7">
        <v>7</v>
      </c>
      <c r="B10" s="7">
        <v>327.70938100000001</v>
      </c>
      <c r="C10" s="9">
        <v>314.77</v>
      </c>
      <c r="D10" s="8">
        <f t="shared" si="0"/>
        <v>4.1107414937891246E-2</v>
      </c>
      <c r="F10" s="11">
        <v>7</v>
      </c>
      <c r="G10" s="11">
        <v>315.57724000000002</v>
      </c>
      <c r="H10" s="11">
        <v>305.83</v>
      </c>
      <c r="I10" s="8">
        <f t="shared" si="1"/>
        <v>3.1871431841219086E-2</v>
      </c>
      <c r="K10" s="11">
        <v>7</v>
      </c>
      <c r="L10" s="11">
        <v>307.39044200000001</v>
      </c>
      <c r="M10" s="11">
        <v>290.52</v>
      </c>
      <c r="N10" s="8">
        <f t="shared" si="2"/>
        <v>5.806981274955262E-2</v>
      </c>
      <c r="P10" s="11">
        <v>7</v>
      </c>
      <c r="Q10" s="11">
        <v>298.40859999999998</v>
      </c>
      <c r="R10" s="11">
        <v>281.94</v>
      </c>
      <c r="S10" s="8">
        <f t="shared" si="3"/>
        <v>5.8411718805419524E-2</v>
      </c>
      <c r="U10" s="11">
        <v>7</v>
      </c>
      <c r="V10" s="11">
        <v>299.104919</v>
      </c>
      <c r="W10" s="11">
        <v>280.67</v>
      </c>
      <c r="X10" s="8">
        <f t="shared" si="4"/>
        <v>6.5681829194427541E-2</v>
      </c>
      <c r="Z10" s="11">
        <v>7</v>
      </c>
      <c r="AA10" s="11">
        <v>302.787689</v>
      </c>
      <c r="AB10" s="11">
        <v>290.2</v>
      </c>
      <c r="AC10" s="8">
        <f t="shared" si="5"/>
        <v>4.3375909717436295E-2</v>
      </c>
      <c r="AE10" s="11">
        <v>7</v>
      </c>
      <c r="AF10" s="11">
        <v>352.77407799999997</v>
      </c>
      <c r="AG10" s="11">
        <v>299.11</v>
      </c>
      <c r="AH10" s="8">
        <f t="shared" si="6"/>
        <v>0.17941251713416456</v>
      </c>
      <c r="AJ10" s="11">
        <v>7</v>
      </c>
      <c r="AK10" s="11">
        <v>339.596588</v>
      </c>
      <c r="AL10" s="11">
        <v>316.93</v>
      </c>
      <c r="AM10" s="8">
        <f t="shared" si="7"/>
        <v>7.1519225065471842E-2</v>
      </c>
      <c r="AO10" s="11">
        <v>7</v>
      </c>
      <c r="AP10" s="11">
        <v>339.28533900000002</v>
      </c>
      <c r="AQ10" s="11">
        <v>275.51</v>
      </c>
      <c r="AR10" s="8">
        <f t="shared" si="8"/>
        <v>0.23148103154150496</v>
      </c>
      <c r="AT10" s="11">
        <v>7</v>
      </c>
      <c r="AU10" s="11">
        <v>326.177368</v>
      </c>
      <c r="AV10" s="11">
        <v>281.92</v>
      </c>
      <c r="AW10" s="8">
        <f t="shared" si="9"/>
        <v>0.15698555618615204</v>
      </c>
      <c r="AY10" s="11">
        <v>7</v>
      </c>
      <c r="AZ10" s="11">
        <v>327.32562300000001</v>
      </c>
      <c r="BA10" s="11">
        <v>229.53</v>
      </c>
      <c r="BB10" s="10">
        <f t="shared" si="10"/>
        <v>0.4260690236570383</v>
      </c>
      <c r="BD10" s="11">
        <v>7</v>
      </c>
      <c r="BE10" s="11">
        <v>307.02587899999997</v>
      </c>
      <c r="BF10" s="11">
        <v>168</v>
      </c>
      <c r="BG10" s="8">
        <f t="shared" si="11"/>
        <v>0.82753499404761888</v>
      </c>
    </row>
    <row r="11" spans="1:67" x14ac:dyDescent="0.25">
      <c r="A11" s="7">
        <v>8</v>
      </c>
      <c r="B11" s="7">
        <v>332.07867399999998</v>
      </c>
      <c r="C11" s="9">
        <v>325.61</v>
      </c>
      <c r="D11" s="8">
        <f t="shared" si="0"/>
        <v>1.9866324744325925E-2</v>
      </c>
      <c r="F11" s="11">
        <v>8</v>
      </c>
      <c r="G11" s="11">
        <v>325.029968</v>
      </c>
      <c r="H11" s="11">
        <v>323.01</v>
      </c>
      <c r="I11" s="8">
        <f t="shared" si="1"/>
        <v>6.2535772886288532E-3</v>
      </c>
      <c r="K11" s="11">
        <v>8</v>
      </c>
      <c r="L11" s="11">
        <v>309.93710299999998</v>
      </c>
      <c r="M11" s="11">
        <v>304.12</v>
      </c>
      <c r="N11" s="8">
        <f t="shared" si="2"/>
        <v>1.9127656845981767E-2</v>
      </c>
      <c r="P11" s="11">
        <v>8</v>
      </c>
      <c r="Q11" s="11">
        <v>294.47979700000002</v>
      </c>
      <c r="R11" s="11">
        <v>304.91000000000003</v>
      </c>
      <c r="S11" s="8">
        <f t="shared" si="3"/>
        <v>3.4207480896002118E-2</v>
      </c>
      <c r="U11" s="11">
        <v>8</v>
      </c>
      <c r="V11" s="11">
        <v>296.02310199999999</v>
      </c>
      <c r="W11" s="11">
        <v>305</v>
      </c>
      <c r="X11" s="8">
        <f t="shared" si="4"/>
        <v>2.9432452459016413E-2</v>
      </c>
      <c r="Z11" s="11">
        <v>8</v>
      </c>
      <c r="AA11" s="11">
        <v>289.10327100000001</v>
      </c>
      <c r="AB11" s="11">
        <v>309.10000000000002</v>
      </c>
      <c r="AC11" s="8">
        <f t="shared" si="5"/>
        <v>6.4693396958913019E-2</v>
      </c>
      <c r="AE11" s="11">
        <v>8</v>
      </c>
      <c r="AF11" s="11">
        <v>319.23556500000001</v>
      </c>
      <c r="AG11" s="11">
        <v>304.20999999999998</v>
      </c>
      <c r="AH11" s="8">
        <f t="shared" si="6"/>
        <v>4.939208112816814E-2</v>
      </c>
      <c r="AJ11" s="11">
        <v>8</v>
      </c>
      <c r="AK11" s="11">
        <v>295.11547899999999</v>
      </c>
      <c r="AL11" s="11">
        <v>314.16000000000003</v>
      </c>
      <c r="AM11" s="8">
        <f t="shared" si="7"/>
        <v>6.0620451362363222E-2</v>
      </c>
      <c r="AO11" s="11">
        <v>8</v>
      </c>
      <c r="AP11" s="11">
        <v>316.17691000000002</v>
      </c>
      <c r="AQ11" s="11">
        <v>311.16000000000003</v>
      </c>
      <c r="AR11" s="8">
        <f t="shared" si="8"/>
        <v>1.6123248489523061E-2</v>
      </c>
      <c r="AT11" s="11">
        <v>8</v>
      </c>
      <c r="AU11" s="11">
        <v>306.24642899999998</v>
      </c>
      <c r="AV11" s="11">
        <v>296.18</v>
      </c>
      <c r="AW11" s="8">
        <f t="shared" si="9"/>
        <v>3.3987537983658486E-2</v>
      </c>
      <c r="AY11" s="11">
        <v>8</v>
      </c>
      <c r="AZ11" s="11">
        <v>304.30599999999998</v>
      </c>
      <c r="BA11" s="11">
        <v>301.54000000000002</v>
      </c>
      <c r="BB11" s="8">
        <f t="shared" si="10"/>
        <v>9.1729123830999616E-3</v>
      </c>
      <c r="BD11" s="11">
        <v>8</v>
      </c>
      <c r="BE11" s="11">
        <v>299.138214</v>
      </c>
      <c r="BF11" s="11">
        <v>283.83</v>
      </c>
      <c r="BG11" s="8">
        <f t="shared" si="11"/>
        <v>5.3934446675827155E-2</v>
      </c>
    </row>
    <row r="12" spans="1:67" x14ac:dyDescent="0.25">
      <c r="A12" s="7">
        <v>9</v>
      </c>
      <c r="B12" s="7">
        <v>285.58117700000003</v>
      </c>
      <c r="C12" s="9">
        <v>281.02</v>
      </c>
      <c r="D12" s="8">
        <f t="shared" si="0"/>
        <v>1.6230791402747292E-2</v>
      </c>
      <c r="F12" s="11">
        <v>9</v>
      </c>
      <c r="G12" s="11">
        <v>297.48904399999998</v>
      </c>
      <c r="H12" s="11">
        <v>293.60000000000002</v>
      </c>
      <c r="I12" s="8">
        <f t="shared" si="1"/>
        <v>1.3246062670299576E-2</v>
      </c>
      <c r="K12" s="11">
        <v>9</v>
      </c>
      <c r="L12" s="11">
        <v>282.78964200000001</v>
      </c>
      <c r="M12" s="11">
        <v>281.14</v>
      </c>
      <c r="N12" s="8">
        <f t="shared" si="2"/>
        <v>5.8676886960234353E-3</v>
      </c>
      <c r="P12" s="11">
        <v>9</v>
      </c>
      <c r="Q12" s="11">
        <v>267.59695399999998</v>
      </c>
      <c r="R12" s="11">
        <v>268.62</v>
      </c>
      <c r="S12" s="8">
        <f t="shared" si="3"/>
        <v>3.8085250539796815E-3</v>
      </c>
      <c r="U12" s="11">
        <v>9</v>
      </c>
      <c r="V12" s="11">
        <v>271.076752</v>
      </c>
      <c r="W12" s="11">
        <v>268.67</v>
      </c>
      <c r="X12" s="8">
        <f t="shared" si="4"/>
        <v>8.9580228533144117E-3</v>
      </c>
      <c r="Z12" s="11">
        <v>9</v>
      </c>
      <c r="AA12" s="11">
        <v>255.95536799999999</v>
      </c>
      <c r="AB12" s="11">
        <v>268.63</v>
      </c>
      <c r="AC12" s="8">
        <f t="shared" si="5"/>
        <v>4.7182488925287577E-2</v>
      </c>
      <c r="AE12" s="11">
        <v>9</v>
      </c>
      <c r="AF12" s="11">
        <v>290.50460800000002</v>
      </c>
      <c r="AG12" s="11">
        <v>268.57</v>
      </c>
      <c r="AH12" s="8">
        <f t="shared" si="6"/>
        <v>8.1671847190676647E-2</v>
      </c>
      <c r="AJ12" s="11">
        <v>9</v>
      </c>
      <c r="AK12" s="11">
        <v>225.24121099999999</v>
      </c>
      <c r="AL12" s="11">
        <v>268.58</v>
      </c>
      <c r="AM12" s="8">
        <f t="shared" si="7"/>
        <v>0.16136268151016456</v>
      </c>
      <c r="AO12" s="11">
        <v>9</v>
      </c>
      <c r="AP12" s="11">
        <v>256.80041499999999</v>
      </c>
      <c r="AQ12" s="11">
        <v>271.55</v>
      </c>
      <c r="AR12" s="8">
        <f t="shared" si="8"/>
        <v>5.4316276928742496E-2</v>
      </c>
      <c r="AT12" s="11">
        <v>9</v>
      </c>
      <c r="AU12" s="11">
        <v>247.91644299999999</v>
      </c>
      <c r="AV12" s="11">
        <v>287.91000000000003</v>
      </c>
      <c r="AW12" s="8">
        <f t="shared" si="9"/>
        <v>0.13890992671320912</v>
      </c>
      <c r="AY12" s="11">
        <v>9</v>
      </c>
      <c r="AZ12" s="11">
        <v>235.842896</v>
      </c>
      <c r="BA12" s="11">
        <v>287.47000000000003</v>
      </c>
      <c r="BB12" s="8">
        <f t="shared" si="10"/>
        <v>0.17959127561136823</v>
      </c>
      <c r="BD12" s="11">
        <v>9</v>
      </c>
      <c r="BE12" s="11">
        <v>242.307312</v>
      </c>
      <c r="BF12" s="11">
        <v>184.27</v>
      </c>
      <c r="BG12" s="8">
        <f t="shared" si="11"/>
        <v>0.31495800727193785</v>
      </c>
    </row>
    <row r="13" spans="1:67" x14ac:dyDescent="0.25">
      <c r="A13" s="7">
        <v>10</v>
      </c>
      <c r="B13" s="7">
        <v>241.21902499999999</v>
      </c>
      <c r="C13" s="9">
        <v>335.41</v>
      </c>
      <c r="D13" s="8">
        <f t="shared" si="0"/>
        <v>0.28082339524760752</v>
      </c>
      <c r="F13" s="11">
        <v>10</v>
      </c>
      <c r="G13" s="11">
        <v>281.48226899999997</v>
      </c>
      <c r="H13" s="11">
        <v>282.7</v>
      </c>
      <c r="I13" s="8">
        <f t="shared" si="1"/>
        <v>4.3075026529890868E-3</v>
      </c>
      <c r="K13" s="11">
        <v>10</v>
      </c>
      <c r="L13" s="11">
        <v>255.249832</v>
      </c>
      <c r="M13" s="11">
        <v>262.42</v>
      </c>
      <c r="N13" s="8">
        <f t="shared" si="2"/>
        <v>2.732325280085366E-2</v>
      </c>
      <c r="P13" s="11">
        <v>10</v>
      </c>
      <c r="Q13" s="11">
        <v>224.04020700000001</v>
      </c>
      <c r="R13" s="11">
        <v>239.82</v>
      </c>
      <c r="S13" s="8">
        <f t="shared" si="3"/>
        <v>6.579848636477352E-2</v>
      </c>
      <c r="U13" s="11">
        <v>10</v>
      </c>
      <c r="V13" s="11">
        <v>243.81956500000001</v>
      </c>
      <c r="W13" s="11">
        <v>260.37</v>
      </c>
      <c r="X13" s="8">
        <f t="shared" si="4"/>
        <v>6.3565061258977582E-2</v>
      </c>
      <c r="Z13" s="11">
        <v>10</v>
      </c>
      <c r="AA13" s="11">
        <v>250.333618</v>
      </c>
      <c r="AB13" s="11">
        <v>271.51</v>
      </c>
      <c r="AC13" s="8">
        <f t="shared" si="5"/>
        <v>7.7994851018378664E-2</v>
      </c>
      <c r="AE13" s="11">
        <v>10</v>
      </c>
      <c r="AF13" s="11">
        <v>246.242401</v>
      </c>
      <c r="AG13" s="11">
        <v>294.24</v>
      </c>
      <c r="AH13" s="8">
        <f t="shared" si="6"/>
        <v>0.16312397702555739</v>
      </c>
      <c r="AJ13" s="11">
        <v>10</v>
      </c>
      <c r="AK13" s="11">
        <v>276.77050800000001</v>
      </c>
      <c r="AL13" s="11">
        <v>311.33999999999997</v>
      </c>
      <c r="AM13" s="8">
        <f t="shared" si="7"/>
        <v>0.11103453459240692</v>
      </c>
      <c r="AO13" s="11">
        <v>10</v>
      </c>
      <c r="AP13" s="11">
        <v>241.73211699999999</v>
      </c>
      <c r="AQ13" s="11">
        <v>329.9</v>
      </c>
      <c r="AR13" s="8">
        <f t="shared" si="8"/>
        <v>0.26725638981509547</v>
      </c>
      <c r="AT13" s="11">
        <v>10</v>
      </c>
      <c r="AU13" s="11">
        <v>258.03103599999997</v>
      </c>
      <c r="AV13" s="11">
        <v>325.89</v>
      </c>
      <c r="AW13" s="8">
        <f t="shared" si="9"/>
        <v>0.20822659179477743</v>
      </c>
      <c r="AY13" s="11">
        <v>10</v>
      </c>
      <c r="AZ13" s="11">
        <v>291.40896600000002</v>
      </c>
      <c r="BA13" s="11">
        <v>329.87</v>
      </c>
      <c r="BB13" s="8">
        <f t="shared" si="10"/>
        <v>0.1165945190529602</v>
      </c>
      <c r="BD13" s="11">
        <v>10</v>
      </c>
      <c r="BE13" s="11">
        <v>326.82092299999999</v>
      </c>
      <c r="BF13" s="11">
        <v>335.54</v>
      </c>
      <c r="BG13" s="8">
        <f t="shared" si="11"/>
        <v>2.5985208916969739E-2</v>
      </c>
    </row>
    <row r="14" spans="1:67" x14ac:dyDescent="0.25">
      <c r="A14" s="7">
        <v>11</v>
      </c>
      <c r="B14" s="7">
        <v>314.42401100000001</v>
      </c>
      <c r="C14" s="9">
        <v>311.64</v>
      </c>
      <c r="D14" s="8">
        <f t="shared" si="0"/>
        <v>8.9334199717623578E-3</v>
      </c>
      <c r="F14" s="11">
        <v>11</v>
      </c>
      <c r="G14" s="11">
        <v>316.62445100000002</v>
      </c>
      <c r="H14" s="11">
        <v>317.05</v>
      </c>
      <c r="I14" s="8">
        <f t="shared" si="1"/>
        <v>1.3422141618040988E-3</v>
      </c>
      <c r="K14" s="11">
        <v>11</v>
      </c>
      <c r="L14" s="11">
        <v>301.77230800000001</v>
      </c>
      <c r="M14" s="11">
        <v>306.73</v>
      </c>
      <c r="N14" s="8">
        <f t="shared" si="2"/>
        <v>1.6163048935545946E-2</v>
      </c>
      <c r="P14" s="11">
        <v>11</v>
      </c>
      <c r="Q14" s="11">
        <v>285.72302200000001</v>
      </c>
      <c r="R14" s="11">
        <v>301.66000000000003</v>
      </c>
      <c r="S14" s="8">
        <f t="shared" si="3"/>
        <v>5.2830928860306332E-2</v>
      </c>
      <c r="U14" s="11">
        <v>11</v>
      </c>
      <c r="V14" s="11">
        <v>299.55297899999999</v>
      </c>
      <c r="W14" s="11">
        <v>306.76</v>
      </c>
      <c r="X14" s="8">
        <f t="shared" si="4"/>
        <v>2.3494005085408783E-2</v>
      </c>
      <c r="Z14" s="11">
        <v>11</v>
      </c>
      <c r="AA14" s="11">
        <v>307.34347500000001</v>
      </c>
      <c r="AB14" s="11">
        <v>312.8</v>
      </c>
      <c r="AC14" s="8">
        <f t="shared" si="5"/>
        <v>1.744413363171355E-2</v>
      </c>
      <c r="AE14" s="11">
        <v>11</v>
      </c>
      <c r="AF14" s="11">
        <v>323.39898699999998</v>
      </c>
      <c r="AG14" s="11">
        <v>361.41</v>
      </c>
      <c r="AH14" s="8">
        <f t="shared" si="6"/>
        <v>0.10517421488060665</v>
      </c>
      <c r="AJ14" s="11">
        <v>11</v>
      </c>
      <c r="AK14" s="11">
        <v>342.51522799999998</v>
      </c>
      <c r="AL14" s="11">
        <v>474.13</v>
      </c>
      <c r="AM14" s="8">
        <f t="shared" si="7"/>
        <v>0.27759216248708163</v>
      </c>
      <c r="AO14" s="11">
        <v>11</v>
      </c>
      <c r="AP14" s="11">
        <v>307.59072900000001</v>
      </c>
      <c r="AQ14" s="11">
        <v>476.9</v>
      </c>
      <c r="AR14" s="8">
        <f t="shared" si="8"/>
        <v>0.35502048857202761</v>
      </c>
      <c r="AT14" s="11">
        <v>11</v>
      </c>
      <c r="AU14" s="11">
        <v>320.82595800000001</v>
      </c>
      <c r="AV14" s="11">
        <v>457.5</v>
      </c>
      <c r="AW14" s="8">
        <f t="shared" si="9"/>
        <v>0.29874107540983602</v>
      </c>
      <c r="AY14" s="11">
        <v>11</v>
      </c>
      <c r="AZ14" s="11">
        <v>325.795074</v>
      </c>
      <c r="BA14" s="11">
        <v>353.96</v>
      </c>
      <c r="BB14" s="8">
        <f t="shared" si="10"/>
        <v>7.9570928918521813E-2</v>
      </c>
      <c r="BD14" s="11">
        <v>11</v>
      </c>
      <c r="BE14" s="11">
        <v>318.87701399999997</v>
      </c>
      <c r="BF14" s="11">
        <v>353.43</v>
      </c>
      <c r="BG14" s="8">
        <f t="shared" si="11"/>
        <v>9.7764722858840594E-2</v>
      </c>
    </row>
    <row r="15" spans="1:67" ht="15.75" thickBot="1" x14ac:dyDescent="0.3">
      <c r="A15" s="7">
        <v>12</v>
      </c>
      <c r="B15" s="7">
        <v>338.62420700000001</v>
      </c>
      <c r="C15" s="9">
        <v>290.35000000000002</v>
      </c>
      <c r="D15" s="8">
        <f t="shared" si="0"/>
        <v>0.16626212157740652</v>
      </c>
      <c r="F15" s="11">
        <v>12</v>
      </c>
      <c r="G15" s="11">
        <v>320.843323</v>
      </c>
      <c r="H15" s="11">
        <v>286.47000000000003</v>
      </c>
      <c r="I15" s="8">
        <f t="shared" si="1"/>
        <v>0.11998925891018246</v>
      </c>
      <c r="K15" s="11">
        <v>12</v>
      </c>
      <c r="L15" s="11">
        <v>314.170074</v>
      </c>
      <c r="M15" s="11">
        <v>290.76</v>
      </c>
      <c r="N15" s="8">
        <f t="shared" si="2"/>
        <v>8.051339248865047E-2</v>
      </c>
      <c r="P15" s="11">
        <v>12</v>
      </c>
      <c r="Q15" s="11">
        <v>308.19281000000001</v>
      </c>
      <c r="R15" s="11">
        <v>297.7</v>
      </c>
      <c r="S15" s="8">
        <f t="shared" si="3"/>
        <v>3.5246254618743769E-2</v>
      </c>
      <c r="U15" s="11">
        <v>12</v>
      </c>
      <c r="V15" s="11">
        <v>313.38906900000001</v>
      </c>
      <c r="W15" s="11">
        <v>305.81</v>
      </c>
      <c r="X15" s="8">
        <f t="shared" si="4"/>
        <v>2.4783587848664218E-2</v>
      </c>
      <c r="Z15" s="11">
        <v>12</v>
      </c>
      <c r="AA15" s="11">
        <v>325.84316999999999</v>
      </c>
      <c r="AB15" s="11">
        <v>297.7</v>
      </c>
      <c r="AC15" s="8">
        <f t="shared" si="5"/>
        <v>9.4535337588176019E-2</v>
      </c>
      <c r="AE15" s="11">
        <v>12</v>
      </c>
      <c r="AF15" s="11">
        <v>348.712738</v>
      </c>
      <c r="AG15" s="11">
        <v>351.52</v>
      </c>
      <c r="AH15" s="8">
        <f t="shared" si="6"/>
        <v>7.9860662266726789E-3</v>
      </c>
      <c r="AJ15" s="11">
        <v>12</v>
      </c>
      <c r="AK15" s="11">
        <v>359.91662600000001</v>
      </c>
      <c r="AL15" s="11">
        <v>425.44</v>
      </c>
      <c r="AM15" s="8">
        <f t="shared" si="7"/>
        <v>0.15401319575028205</v>
      </c>
      <c r="AO15" s="11">
        <v>12</v>
      </c>
      <c r="AP15" s="11">
        <v>326.04779100000002</v>
      </c>
      <c r="AQ15" s="11">
        <v>361.87</v>
      </c>
      <c r="AR15" s="8">
        <f t="shared" si="8"/>
        <v>9.8991928040456478E-2</v>
      </c>
      <c r="AT15" s="11">
        <v>12</v>
      </c>
      <c r="AU15" s="11">
        <v>332.97778299999999</v>
      </c>
      <c r="AV15" s="11">
        <v>360.28</v>
      </c>
      <c r="AW15" s="8">
        <f t="shared" si="9"/>
        <v>7.5780551237926014E-2</v>
      </c>
      <c r="AY15" s="11">
        <v>12</v>
      </c>
      <c r="AZ15" s="11">
        <v>344.96142600000002</v>
      </c>
      <c r="BA15" s="11">
        <v>359.32</v>
      </c>
      <c r="BB15" s="8">
        <f t="shared" si="10"/>
        <v>3.9960408549482289E-2</v>
      </c>
      <c r="BD15" s="11">
        <v>12</v>
      </c>
      <c r="BE15" s="11">
        <v>331.67941300000001</v>
      </c>
      <c r="BF15" s="11">
        <v>380.82</v>
      </c>
      <c r="BG15" s="8">
        <f t="shared" si="11"/>
        <v>0.12903888188645549</v>
      </c>
      <c r="BI15" s="11" t="s">
        <v>32</v>
      </c>
      <c r="BJ15" s="11" t="s">
        <v>31</v>
      </c>
      <c r="BK15" s="11" t="s">
        <v>34</v>
      </c>
      <c r="BL15" s="11" t="s">
        <v>35</v>
      </c>
    </row>
    <row r="16" spans="1:67" ht="15.75" thickBot="1" x14ac:dyDescent="0.3">
      <c r="A16" s="7">
        <v>13</v>
      </c>
      <c r="B16" s="7">
        <v>366.02844199999998</v>
      </c>
      <c r="C16" s="9">
        <v>317.20999999999998</v>
      </c>
      <c r="D16" s="8">
        <f t="shared" si="0"/>
        <v>0.15389944201002492</v>
      </c>
      <c r="F16" s="11">
        <v>13</v>
      </c>
      <c r="G16" s="11">
        <v>341.66095000000001</v>
      </c>
      <c r="H16" s="11">
        <v>315.54000000000002</v>
      </c>
      <c r="I16" s="8">
        <f t="shared" si="1"/>
        <v>8.2781739240666771E-2</v>
      </c>
      <c r="K16" s="11">
        <v>13</v>
      </c>
      <c r="L16" s="11">
        <v>335.79931599999998</v>
      </c>
      <c r="M16" s="11">
        <v>311.69</v>
      </c>
      <c r="N16" s="8">
        <f t="shared" si="2"/>
        <v>7.7350303185857672E-2</v>
      </c>
      <c r="P16" s="11">
        <v>13</v>
      </c>
      <c r="Q16" s="11">
        <v>344.30599999999998</v>
      </c>
      <c r="R16" s="11">
        <v>314.64</v>
      </c>
      <c r="S16" s="8">
        <f t="shared" si="3"/>
        <v>9.428553267226035E-2</v>
      </c>
      <c r="U16" s="11">
        <v>13</v>
      </c>
      <c r="V16" s="11">
        <v>329.29574600000001</v>
      </c>
      <c r="W16" s="11">
        <v>320.7</v>
      </c>
      <c r="X16" s="8">
        <f t="shared" si="4"/>
        <v>2.6803074524477766E-2</v>
      </c>
      <c r="Z16" s="11">
        <v>13</v>
      </c>
      <c r="AA16" s="11">
        <v>343.52014200000002</v>
      </c>
      <c r="AB16" s="11">
        <v>324.99</v>
      </c>
      <c r="AC16" s="8">
        <f t="shared" si="5"/>
        <v>5.7017575925413122E-2</v>
      </c>
      <c r="AE16" s="11">
        <v>13</v>
      </c>
      <c r="AF16" s="11">
        <v>379.04229700000002</v>
      </c>
      <c r="AG16" s="11">
        <v>333.76</v>
      </c>
      <c r="AH16" s="8">
        <f t="shared" si="6"/>
        <v>0.13567322926653891</v>
      </c>
      <c r="AJ16" s="11">
        <v>13</v>
      </c>
      <c r="AK16" s="11">
        <v>365.77209499999998</v>
      </c>
      <c r="AL16" s="11">
        <v>356.17</v>
      </c>
      <c r="AM16" s="8">
        <f t="shared" si="7"/>
        <v>2.6959303141758043E-2</v>
      </c>
      <c r="AO16" s="11">
        <v>13</v>
      </c>
      <c r="AP16" s="11">
        <v>347.37719700000002</v>
      </c>
      <c r="AQ16" s="11">
        <v>451.86</v>
      </c>
      <c r="AR16" s="8">
        <f t="shared" si="8"/>
        <v>0.23122826317886069</v>
      </c>
      <c r="AT16" s="11">
        <v>13</v>
      </c>
      <c r="AU16" s="11">
        <v>349.72228999999999</v>
      </c>
      <c r="AV16" s="11">
        <v>485.27</v>
      </c>
      <c r="AW16" s="8">
        <f t="shared" si="9"/>
        <v>0.27932431429925608</v>
      </c>
      <c r="AY16" s="11">
        <v>13</v>
      </c>
      <c r="AZ16" s="11">
        <v>361.37716699999999</v>
      </c>
      <c r="BA16" s="11">
        <v>373.6</v>
      </c>
      <c r="BB16" s="8">
        <f t="shared" si="10"/>
        <v>3.2716362419700308E-2</v>
      </c>
      <c r="BD16" s="11">
        <v>13</v>
      </c>
      <c r="BE16" s="11">
        <v>348.47549400000003</v>
      </c>
      <c r="BF16" s="11">
        <v>372.11</v>
      </c>
      <c r="BG16" s="8">
        <f t="shared" si="11"/>
        <v>6.3514837010561362E-2</v>
      </c>
      <c r="BI16" s="13">
        <f t="shared" ref="BI16:BI42" si="12">BI17-1</f>
        <v>43889</v>
      </c>
      <c r="BJ16" s="12">
        <f t="shared" ref="BJ16:BJ44" si="13">AVERAGE(D3,I3,N3,S3,X3,AC3,AH3,AM3,AR3,AW3,BB3,BG3,D35,I35,N35,S35,X35,AC35,AH35,AM35,AR35,AW35,BB35,BG35)</f>
        <v>7.5164620468549631E-2</v>
      </c>
      <c r="BK16" s="11">
        <f>IF(BJ16&lt;=0.1,1,0)</f>
        <v>1</v>
      </c>
      <c r="BL16" s="11">
        <v>1</v>
      </c>
      <c r="BN16" s="19" t="s">
        <v>33</v>
      </c>
      <c r="BO16" s="20"/>
    </row>
    <row r="17" spans="1:67" ht="15.75" thickBot="1" x14ac:dyDescent="0.3">
      <c r="A17" s="7">
        <v>14</v>
      </c>
      <c r="B17" s="7">
        <v>384.04083300000002</v>
      </c>
      <c r="C17" s="9">
        <v>387.04</v>
      </c>
      <c r="D17" s="8">
        <f t="shared" si="0"/>
        <v>7.748984601074824E-3</v>
      </c>
      <c r="F17" s="11">
        <v>14</v>
      </c>
      <c r="G17" s="11">
        <v>354.91427599999997</v>
      </c>
      <c r="H17" s="11">
        <v>360.33</v>
      </c>
      <c r="I17" s="8">
        <f t="shared" si="1"/>
        <v>1.502990036910613E-2</v>
      </c>
      <c r="K17" s="11">
        <v>14</v>
      </c>
      <c r="L17" s="11">
        <v>350.501282</v>
      </c>
      <c r="M17" s="11">
        <v>351.89</v>
      </c>
      <c r="N17" s="8">
        <f t="shared" si="2"/>
        <v>3.9464548580521843E-3</v>
      </c>
      <c r="P17" s="11">
        <v>14</v>
      </c>
      <c r="Q17" s="11">
        <v>367.17056300000002</v>
      </c>
      <c r="R17" s="11">
        <v>339.65</v>
      </c>
      <c r="S17" s="8">
        <f t="shared" si="3"/>
        <v>8.1026241719417164E-2</v>
      </c>
      <c r="U17" s="11">
        <v>14</v>
      </c>
      <c r="V17" s="11">
        <v>346.47540300000003</v>
      </c>
      <c r="W17" s="11">
        <v>338.84</v>
      </c>
      <c r="X17" s="8">
        <f t="shared" si="4"/>
        <v>2.2533948176130487E-2</v>
      </c>
      <c r="Z17" s="11">
        <v>14</v>
      </c>
      <c r="AA17" s="11">
        <v>358.97799700000002</v>
      </c>
      <c r="AB17" s="11">
        <v>341.59</v>
      </c>
      <c r="AC17" s="8">
        <f t="shared" si="5"/>
        <v>5.0903120700254816E-2</v>
      </c>
      <c r="AE17" s="11">
        <v>14</v>
      </c>
      <c r="AF17" s="11">
        <v>390.95382699999999</v>
      </c>
      <c r="AG17" s="11">
        <v>351.08</v>
      </c>
      <c r="AH17" s="8">
        <f t="shared" si="6"/>
        <v>0.11357476073829328</v>
      </c>
      <c r="AJ17" s="11">
        <v>14</v>
      </c>
      <c r="AK17" s="11">
        <v>369.04904199999999</v>
      </c>
      <c r="AL17" s="11">
        <v>364.22</v>
      </c>
      <c r="AM17" s="8">
        <f t="shared" si="7"/>
        <v>1.3258585470320021E-2</v>
      </c>
      <c r="AO17" s="11">
        <v>14</v>
      </c>
      <c r="AP17" s="11">
        <v>370.701843</v>
      </c>
      <c r="AQ17" s="11">
        <v>363.15</v>
      </c>
      <c r="AR17" s="8">
        <f t="shared" si="8"/>
        <v>2.0795382073523393E-2</v>
      </c>
      <c r="AT17" s="11">
        <v>14</v>
      </c>
      <c r="AU17" s="11">
        <v>375.91717499999999</v>
      </c>
      <c r="AV17" s="11">
        <v>387.57</v>
      </c>
      <c r="AW17" s="8">
        <f t="shared" si="9"/>
        <v>3.0066375106432404E-2</v>
      </c>
      <c r="AY17" s="11">
        <v>14</v>
      </c>
      <c r="AZ17" s="11">
        <v>381.58221400000002</v>
      </c>
      <c r="BA17" s="11">
        <v>342.68</v>
      </c>
      <c r="BB17" s="8">
        <f t="shared" si="10"/>
        <v>0.11352344461305011</v>
      </c>
      <c r="BD17" s="11">
        <v>14</v>
      </c>
      <c r="BE17" s="11">
        <v>363.69454999999999</v>
      </c>
      <c r="BF17" s="11">
        <v>368.74</v>
      </c>
      <c r="BG17" s="8">
        <f t="shared" si="11"/>
        <v>1.3682947334165039E-2</v>
      </c>
      <c r="BI17" s="13">
        <f t="shared" si="12"/>
        <v>43890</v>
      </c>
      <c r="BJ17" s="16">
        <f t="shared" si="13"/>
        <v>1.0989326885164286</v>
      </c>
      <c r="BK17" s="11">
        <f>IF(BJ17&lt;=0.1,1,0)</f>
        <v>0</v>
      </c>
      <c r="BL17" s="11">
        <v>1</v>
      </c>
      <c r="BN17" s="21">
        <f>SUM(BK16:BK44)/SUM(BL16:BL44)</f>
        <v>0.27586206896551724</v>
      </c>
      <c r="BO17" s="22"/>
    </row>
    <row r="18" spans="1:67" x14ac:dyDescent="0.25">
      <c r="A18" s="7">
        <v>15</v>
      </c>
      <c r="B18" s="7">
        <v>399.195404</v>
      </c>
      <c r="C18" s="9">
        <v>398.78</v>
      </c>
      <c r="D18" s="8">
        <f t="shared" si="0"/>
        <v>1.0416871457947332E-3</v>
      </c>
      <c r="F18" s="11">
        <v>15</v>
      </c>
      <c r="G18" s="11">
        <v>374.07055700000001</v>
      </c>
      <c r="H18" s="11">
        <v>356.55</v>
      </c>
      <c r="I18" s="8">
        <f t="shared" si="1"/>
        <v>4.9139130556724149E-2</v>
      </c>
      <c r="K18" s="11">
        <v>15</v>
      </c>
      <c r="L18" s="11">
        <v>369.11450200000002</v>
      </c>
      <c r="M18" s="11">
        <v>342.29</v>
      </c>
      <c r="N18" s="8">
        <f t="shared" si="2"/>
        <v>7.83677641765754E-2</v>
      </c>
      <c r="P18" s="11">
        <v>15</v>
      </c>
      <c r="Q18" s="11">
        <v>394.875</v>
      </c>
      <c r="R18" s="11">
        <v>342.79</v>
      </c>
      <c r="S18" s="8">
        <f t="shared" si="3"/>
        <v>0.15194433909974028</v>
      </c>
      <c r="U18" s="11">
        <v>15</v>
      </c>
      <c r="V18" s="11">
        <v>366.697968</v>
      </c>
      <c r="W18" s="11">
        <v>341.06</v>
      </c>
      <c r="X18" s="8">
        <f t="shared" si="4"/>
        <v>7.5171430246877377E-2</v>
      </c>
      <c r="Z18" s="11">
        <v>15</v>
      </c>
      <c r="AA18" s="11">
        <v>366.54058800000001</v>
      </c>
      <c r="AB18" s="11">
        <v>343.78</v>
      </c>
      <c r="AC18" s="8">
        <f t="shared" si="5"/>
        <v>6.6206841584734555E-2</v>
      </c>
      <c r="AE18" s="11">
        <v>15</v>
      </c>
      <c r="AF18" s="11">
        <v>397.67156999999997</v>
      </c>
      <c r="AG18" s="11">
        <v>339.1</v>
      </c>
      <c r="AH18" s="8">
        <f t="shared" si="6"/>
        <v>0.17272654084340888</v>
      </c>
      <c r="AJ18" s="11">
        <v>15</v>
      </c>
      <c r="AK18" s="11">
        <v>363.07614100000001</v>
      </c>
      <c r="AL18" s="11">
        <v>364.35</v>
      </c>
      <c r="AM18" s="8">
        <f t="shared" si="7"/>
        <v>3.4962508576918232E-3</v>
      </c>
      <c r="AO18" s="11">
        <v>15</v>
      </c>
      <c r="AP18" s="11">
        <v>367.073151</v>
      </c>
      <c r="AQ18" s="11">
        <v>363.92</v>
      </c>
      <c r="AR18" s="8">
        <f t="shared" si="8"/>
        <v>8.6644070125301703E-3</v>
      </c>
      <c r="AT18" s="11">
        <v>15</v>
      </c>
      <c r="AU18" s="11">
        <v>361.68136600000003</v>
      </c>
      <c r="AV18" s="11">
        <v>372.54</v>
      </c>
      <c r="AW18" s="8">
        <f t="shared" si="9"/>
        <v>2.9147565362108753E-2</v>
      </c>
      <c r="AY18" s="11">
        <v>15</v>
      </c>
      <c r="AZ18" s="11">
        <v>357.87029999999999</v>
      </c>
      <c r="BA18" s="11">
        <v>368.14</v>
      </c>
      <c r="BB18" s="8">
        <f t="shared" si="10"/>
        <v>2.7896180800782312E-2</v>
      </c>
      <c r="BD18" s="11">
        <v>15</v>
      </c>
      <c r="BE18" s="11">
        <v>339.77871699999997</v>
      </c>
      <c r="BF18" s="11">
        <v>341.55</v>
      </c>
      <c r="BG18" s="8">
        <f t="shared" si="11"/>
        <v>5.1860137607964846E-3</v>
      </c>
      <c r="BI18" s="13">
        <f t="shared" si="12"/>
        <v>43891</v>
      </c>
      <c r="BJ18" s="16">
        <f t="shared" si="13"/>
        <v>1.0408104413563151</v>
      </c>
      <c r="BK18" s="11">
        <f t="shared" ref="BK18:BK44" si="14">IF(BJ18&lt;=0.1,1,0)</f>
        <v>0</v>
      </c>
      <c r="BL18" s="11">
        <v>1</v>
      </c>
      <c r="BN18" s="14"/>
      <c r="BO18" s="14"/>
    </row>
    <row r="19" spans="1:67" x14ac:dyDescent="0.25">
      <c r="A19" s="7">
        <v>16</v>
      </c>
      <c r="B19" s="7">
        <v>373.34478799999999</v>
      </c>
      <c r="C19" s="9">
        <v>360.04</v>
      </c>
      <c r="D19" s="8">
        <f t="shared" si="0"/>
        <v>3.6953638484612743E-2</v>
      </c>
      <c r="F19" s="11">
        <v>16</v>
      </c>
      <c r="G19" s="11">
        <v>350.236267</v>
      </c>
      <c r="H19" s="11">
        <v>344.54</v>
      </c>
      <c r="I19" s="8">
        <f t="shared" si="1"/>
        <v>1.6532962790967602E-2</v>
      </c>
      <c r="K19" s="11">
        <v>16</v>
      </c>
      <c r="L19" s="11">
        <v>347.64172400000001</v>
      </c>
      <c r="M19" s="11">
        <v>360.67</v>
      </c>
      <c r="N19" s="8">
        <f t="shared" si="2"/>
        <v>3.6122427703995354E-2</v>
      </c>
      <c r="P19" s="11">
        <v>16</v>
      </c>
      <c r="Q19" s="11">
        <v>350.48040800000001</v>
      </c>
      <c r="R19" s="11">
        <v>361.77</v>
      </c>
      <c r="S19" s="8">
        <f t="shared" si="3"/>
        <v>3.1206545595267633E-2</v>
      </c>
      <c r="U19" s="11">
        <v>16</v>
      </c>
      <c r="V19" s="11">
        <v>325.19638099999997</v>
      </c>
      <c r="W19" s="11">
        <v>356.5</v>
      </c>
      <c r="X19" s="8">
        <f t="shared" si="4"/>
        <v>8.7808187938288998E-2</v>
      </c>
      <c r="Z19" s="11">
        <v>16</v>
      </c>
      <c r="AA19" s="11">
        <v>329.23916600000001</v>
      </c>
      <c r="AB19" s="11">
        <v>401.34</v>
      </c>
      <c r="AC19" s="8">
        <f t="shared" si="5"/>
        <v>0.17965025664025505</v>
      </c>
      <c r="AE19" s="11">
        <v>16</v>
      </c>
      <c r="AF19" s="11">
        <v>363.91494799999998</v>
      </c>
      <c r="AG19" s="11">
        <v>395.86</v>
      </c>
      <c r="AH19" s="8">
        <f t="shared" si="6"/>
        <v>8.0697852776234105E-2</v>
      </c>
      <c r="AJ19" s="11">
        <v>16</v>
      </c>
      <c r="AK19" s="11">
        <v>294.81140099999999</v>
      </c>
      <c r="AL19" s="11">
        <v>380.21</v>
      </c>
      <c r="AM19" s="8">
        <f t="shared" si="7"/>
        <v>0.22460902922069381</v>
      </c>
      <c r="AO19" s="11">
        <v>16</v>
      </c>
      <c r="AP19" s="11">
        <v>310.47842400000002</v>
      </c>
      <c r="AQ19" s="11">
        <v>336.7</v>
      </c>
      <c r="AR19" s="8">
        <f t="shared" si="8"/>
        <v>7.7878158598158512E-2</v>
      </c>
      <c r="AT19" s="11">
        <v>16</v>
      </c>
      <c r="AU19" s="11">
        <v>288.02145400000001</v>
      </c>
      <c r="AV19" s="11">
        <v>326.19</v>
      </c>
      <c r="AW19" s="8">
        <f t="shared" si="9"/>
        <v>0.11701323155216282</v>
      </c>
      <c r="AY19" s="11">
        <v>16</v>
      </c>
      <c r="AZ19" s="11">
        <v>279.12649499999998</v>
      </c>
      <c r="BA19" s="11">
        <v>305.10000000000002</v>
      </c>
      <c r="BB19" s="8">
        <f t="shared" si="10"/>
        <v>8.5131120943952948E-2</v>
      </c>
      <c r="BD19" s="11">
        <v>16</v>
      </c>
      <c r="BE19" s="11">
        <v>271.62652600000001</v>
      </c>
      <c r="BF19" s="11">
        <v>301.86</v>
      </c>
      <c r="BG19" s="8">
        <f t="shared" si="11"/>
        <v>0.10015727158285298</v>
      </c>
      <c r="BI19" s="13">
        <f t="shared" si="12"/>
        <v>43892</v>
      </c>
      <c r="BJ19" s="17">
        <f t="shared" si="13"/>
        <v>0.23082448015198354</v>
      </c>
      <c r="BK19" s="11">
        <f t="shared" si="14"/>
        <v>0</v>
      </c>
      <c r="BL19" s="11">
        <v>1</v>
      </c>
      <c r="BN19" s="18"/>
      <c r="BO19" s="18"/>
    </row>
    <row r="20" spans="1:67" x14ac:dyDescent="0.25">
      <c r="A20" s="7">
        <v>17</v>
      </c>
      <c r="B20" s="7">
        <v>272.65731799999998</v>
      </c>
      <c r="C20" s="9">
        <v>352.8</v>
      </c>
      <c r="D20" s="8">
        <f t="shared" si="0"/>
        <v>0.22716179705215428</v>
      </c>
      <c r="F20" s="11">
        <v>17</v>
      </c>
      <c r="G20" s="11">
        <v>273.255402</v>
      </c>
      <c r="H20" s="11">
        <v>345.72</v>
      </c>
      <c r="I20" s="8">
        <f t="shared" si="1"/>
        <v>0.20960487677889628</v>
      </c>
      <c r="K20" s="11">
        <v>17</v>
      </c>
      <c r="L20" s="11">
        <v>272.60674999999998</v>
      </c>
      <c r="M20" s="11">
        <v>342.88</v>
      </c>
      <c r="N20" s="8">
        <f t="shared" si="2"/>
        <v>0.20494998250116664</v>
      </c>
      <c r="P20" s="11">
        <v>17</v>
      </c>
      <c r="Q20" s="11">
        <v>255.37492399999999</v>
      </c>
      <c r="R20" s="11">
        <v>339.24</v>
      </c>
      <c r="S20" s="8">
        <f t="shared" si="3"/>
        <v>0.24721458554415757</v>
      </c>
      <c r="U20" s="11">
        <v>17</v>
      </c>
      <c r="V20" s="11">
        <v>253.48573300000001</v>
      </c>
      <c r="W20" s="11">
        <v>344.66</v>
      </c>
      <c r="X20" s="8">
        <f t="shared" si="4"/>
        <v>0.26453393779376777</v>
      </c>
      <c r="Z20" s="11">
        <v>17</v>
      </c>
      <c r="AA20" s="11">
        <v>266.426941</v>
      </c>
      <c r="AB20" s="11">
        <v>372.79</v>
      </c>
      <c r="AC20" s="8">
        <f t="shared" si="5"/>
        <v>0.28531628799055775</v>
      </c>
      <c r="AE20" s="11">
        <v>17</v>
      </c>
      <c r="AF20" s="11">
        <v>236.33461</v>
      </c>
      <c r="AG20" s="11">
        <v>375.39</v>
      </c>
      <c r="AH20" s="8">
        <f t="shared" si="6"/>
        <v>0.37042912704121045</v>
      </c>
      <c r="AJ20" s="11">
        <v>17</v>
      </c>
      <c r="AK20" s="11">
        <v>233.83381700000001</v>
      </c>
      <c r="AL20" s="11">
        <v>373.4</v>
      </c>
      <c r="AM20" s="8">
        <f t="shared" si="7"/>
        <v>0.37377124531333683</v>
      </c>
      <c r="AO20" s="11">
        <v>17</v>
      </c>
      <c r="AP20" s="11">
        <v>197.640488</v>
      </c>
      <c r="AQ20" s="11">
        <v>344.77</v>
      </c>
      <c r="AR20" s="8">
        <f t="shared" si="8"/>
        <v>0.4267468515242045</v>
      </c>
      <c r="AT20" s="11">
        <v>17</v>
      </c>
      <c r="AU20" s="11">
        <v>210.71992499999999</v>
      </c>
      <c r="AV20" s="11">
        <v>339.01</v>
      </c>
      <c r="AW20" s="8">
        <f t="shared" si="9"/>
        <v>0.37842563641190524</v>
      </c>
      <c r="AY20" s="11">
        <v>17</v>
      </c>
      <c r="AZ20" s="11">
        <v>228.240601</v>
      </c>
      <c r="BA20" s="11">
        <v>328.67</v>
      </c>
      <c r="BB20" s="8">
        <f t="shared" si="10"/>
        <v>0.30556302370158522</v>
      </c>
      <c r="BD20" s="11">
        <v>17</v>
      </c>
      <c r="BE20" s="11">
        <v>250.70521500000001</v>
      </c>
      <c r="BF20" s="11">
        <v>338.37</v>
      </c>
      <c r="BG20" s="8">
        <f t="shared" si="11"/>
        <v>0.25907966131749266</v>
      </c>
      <c r="BI20" s="13">
        <f t="shared" si="12"/>
        <v>43893</v>
      </c>
      <c r="BJ20" s="12">
        <f t="shared" si="13"/>
        <v>0.12970839704558002</v>
      </c>
      <c r="BK20" s="11">
        <f t="shared" si="14"/>
        <v>0</v>
      </c>
      <c r="BL20" s="11">
        <v>1</v>
      </c>
    </row>
    <row r="21" spans="1:67" x14ac:dyDescent="0.25">
      <c r="A21" s="7">
        <v>18</v>
      </c>
      <c r="B21" s="7">
        <v>281.388824</v>
      </c>
      <c r="C21" s="9">
        <v>360.87</v>
      </c>
      <c r="D21" s="8">
        <f t="shared" si="0"/>
        <v>0.22024877656773909</v>
      </c>
      <c r="F21" s="11">
        <v>18</v>
      </c>
      <c r="G21" s="11">
        <v>310.18142699999999</v>
      </c>
      <c r="H21" s="11">
        <v>357.87</v>
      </c>
      <c r="I21" s="8">
        <f t="shared" si="1"/>
        <v>0.1332566937714813</v>
      </c>
      <c r="K21" s="11">
        <v>18</v>
      </c>
      <c r="L21" s="11">
        <v>299.98159800000002</v>
      </c>
      <c r="M21" s="11">
        <v>349.45</v>
      </c>
      <c r="N21" s="8">
        <f t="shared" si="2"/>
        <v>0.14156074402632701</v>
      </c>
      <c r="P21" s="11">
        <v>18</v>
      </c>
      <c r="Q21" s="11">
        <v>276.010986</v>
      </c>
      <c r="R21" s="11">
        <v>348.96</v>
      </c>
      <c r="S21" s="8">
        <f t="shared" si="3"/>
        <v>0.2090469222833562</v>
      </c>
      <c r="U21" s="11">
        <v>18</v>
      </c>
      <c r="V21" s="11">
        <v>283.86868299999998</v>
      </c>
      <c r="W21" s="11">
        <v>353.16</v>
      </c>
      <c r="X21" s="8">
        <f t="shared" si="4"/>
        <v>0.19620375184052566</v>
      </c>
      <c r="Z21" s="11">
        <v>18</v>
      </c>
      <c r="AA21" s="11">
        <v>298.82251000000002</v>
      </c>
      <c r="AB21" s="11">
        <v>368.8</v>
      </c>
      <c r="AC21" s="8">
        <f t="shared" si="5"/>
        <v>0.18974373644251624</v>
      </c>
      <c r="AE21" s="11">
        <v>18</v>
      </c>
      <c r="AF21" s="11">
        <v>310.40792800000003</v>
      </c>
      <c r="AG21" s="11">
        <v>420.7</v>
      </c>
      <c r="AH21" s="8">
        <f t="shared" si="6"/>
        <v>0.26216323270739234</v>
      </c>
      <c r="AJ21" s="11">
        <v>18</v>
      </c>
      <c r="AK21" s="11">
        <v>328.03881799999999</v>
      </c>
      <c r="AL21" s="11">
        <v>520.25</v>
      </c>
      <c r="AM21" s="8">
        <f t="shared" si="7"/>
        <v>0.36945926381547334</v>
      </c>
      <c r="AO21" s="11">
        <v>18</v>
      </c>
      <c r="AP21" s="11">
        <v>286.24288899999999</v>
      </c>
      <c r="AQ21" s="11">
        <v>521.29</v>
      </c>
      <c r="AR21" s="8">
        <f t="shared" si="8"/>
        <v>0.45089510828905216</v>
      </c>
      <c r="AT21" s="11">
        <v>18</v>
      </c>
      <c r="AU21" s="11">
        <v>296.34182700000002</v>
      </c>
      <c r="AV21" s="11">
        <v>534.29</v>
      </c>
      <c r="AW21" s="8">
        <f t="shared" si="9"/>
        <v>0.4453539706900746</v>
      </c>
      <c r="AY21" s="11">
        <v>18</v>
      </c>
      <c r="AZ21" s="11">
        <v>309.82745399999999</v>
      </c>
      <c r="BA21" s="11">
        <v>425.41</v>
      </c>
      <c r="BB21" s="8">
        <f t="shared" si="10"/>
        <v>0.27169682424014485</v>
      </c>
      <c r="BD21" s="11">
        <v>18</v>
      </c>
      <c r="BE21" s="11">
        <v>318.87701399999997</v>
      </c>
      <c r="BF21" s="11">
        <v>449.74</v>
      </c>
      <c r="BG21" s="8">
        <f t="shared" si="11"/>
        <v>0.29097475430248593</v>
      </c>
      <c r="BI21" s="13">
        <f t="shared" si="12"/>
        <v>43894</v>
      </c>
      <c r="BJ21" s="12">
        <f t="shared" si="13"/>
        <v>7.4445678651627364E-2</v>
      </c>
      <c r="BK21" s="11">
        <f t="shared" si="14"/>
        <v>1</v>
      </c>
      <c r="BL21" s="11">
        <v>1</v>
      </c>
    </row>
    <row r="22" spans="1:67" x14ac:dyDescent="0.25">
      <c r="A22" s="7">
        <v>19</v>
      </c>
      <c r="B22" s="7">
        <v>373.29861499999998</v>
      </c>
      <c r="C22" s="9">
        <v>504.04</v>
      </c>
      <c r="D22" s="8">
        <f t="shared" si="0"/>
        <v>0.25938692365685267</v>
      </c>
      <c r="F22" s="11">
        <v>19</v>
      </c>
      <c r="G22" s="11">
        <v>360.143799</v>
      </c>
      <c r="H22" s="11">
        <v>383.84</v>
      </c>
      <c r="I22" s="8">
        <f t="shared" si="1"/>
        <v>6.1734579512296724E-2</v>
      </c>
      <c r="K22" s="11">
        <v>19</v>
      </c>
      <c r="L22" s="11">
        <v>351.16201799999999</v>
      </c>
      <c r="M22" s="11">
        <v>371.02</v>
      </c>
      <c r="N22" s="8">
        <f t="shared" si="2"/>
        <v>5.3522672632203096E-2</v>
      </c>
      <c r="P22" s="11">
        <v>19</v>
      </c>
      <c r="Q22" s="11">
        <v>360.80044600000002</v>
      </c>
      <c r="R22" s="11">
        <v>377.14</v>
      </c>
      <c r="S22" s="8">
        <f t="shared" si="3"/>
        <v>4.3324903218963685E-2</v>
      </c>
      <c r="U22" s="11">
        <v>19</v>
      </c>
      <c r="V22" s="11">
        <v>349.54315200000002</v>
      </c>
      <c r="W22" s="11">
        <v>378.63</v>
      </c>
      <c r="X22" s="8">
        <f t="shared" si="4"/>
        <v>7.6821297836938376E-2</v>
      </c>
      <c r="Z22" s="11">
        <v>19</v>
      </c>
      <c r="AA22" s="11">
        <v>355.74282799999997</v>
      </c>
      <c r="AB22" s="11">
        <v>483.43</v>
      </c>
      <c r="AC22" s="8">
        <f t="shared" si="5"/>
        <v>0.26412753035599784</v>
      </c>
      <c r="AE22" s="11">
        <v>19</v>
      </c>
      <c r="AF22" s="11">
        <v>356.45318600000002</v>
      </c>
      <c r="AG22" s="11">
        <v>511.54</v>
      </c>
      <c r="AH22" s="8">
        <f t="shared" si="6"/>
        <v>0.30317631856746297</v>
      </c>
      <c r="AJ22" s="11">
        <v>19</v>
      </c>
      <c r="AK22" s="11">
        <v>360.576752</v>
      </c>
      <c r="AL22" s="11">
        <v>524.27</v>
      </c>
      <c r="AM22" s="8">
        <f t="shared" si="7"/>
        <v>0.31223081236767314</v>
      </c>
      <c r="AO22" s="11">
        <v>19</v>
      </c>
      <c r="AP22" s="11">
        <v>330.40206899999998</v>
      </c>
      <c r="AQ22" s="11">
        <v>500.72</v>
      </c>
      <c r="AR22" s="8">
        <f t="shared" si="8"/>
        <v>0.34014605168557283</v>
      </c>
      <c r="AT22" s="11">
        <v>19</v>
      </c>
      <c r="AU22" s="11">
        <v>346.05319200000002</v>
      </c>
      <c r="AV22" s="11">
        <v>501.52</v>
      </c>
      <c r="AW22" s="8">
        <f t="shared" si="9"/>
        <v>0.30999124262242772</v>
      </c>
      <c r="AY22" s="11">
        <v>19</v>
      </c>
      <c r="AZ22" s="11">
        <v>359.703979</v>
      </c>
      <c r="BA22" s="11">
        <v>427.24</v>
      </c>
      <c r="BB22" s="8">
        <f t="shared" si="10"/>
        <v>0.15807513575507912</v>
      </c>
      <c r="BD22" s="11">
        <v>19</v>
      </c>
      <c r="BE22" s="11">
        <v>349.126465</v>
      </c>
      <c r="BF22" s="11">
        <v>391.14</v>
      </c>
      <c r="BG22" s="8">
        <f t="shared" si="11"/>
        <v>0.10741303625300402</v>
      </c>
      <c r="BI22" s="13">
        <f t="shared" si="12"/>
        <v>43895</v>
      </c>
      <c r="BJ22" s="12">
        <f t="shared" si="13"/>
        <v>9.2922297527936001E-2</v>
      </c>
      <c r="BK22" s="11">
        <f t="shared" si="14"/>
        <v>1</v>
      </c>
      <c r="BL22" s="11">
        <v>1</v>
      </c>
    </row>
    <row r="23" spans="1:67" x14ac:dyDescent="0.25">
      <c r="A23" s="7">
        <v>20</v>
      </c>
      <c r="B23" s="7">
        <v>376.57275399999997</v>
      </c>
      <c r="C23" s="9">
        <v>554.16</v>
      </c>
      <c r="D23" s="8">
        <f t="shared" si="0"/>
        <v>0.32046204345315432</v>
      </c>
      <c r="F23" s="11">
        <v>20</v>
      </c>
      <c r="G23" s="11">
        <v>359.96478300000001</v>
      </c>
      <c r="H23" s="11">
        <v>521.74</v>
      </c>
      <c r="I23" s="8">
        <f t="shared" si="1"/>
        <v>0.31006864913558474</v>
      </c>
      <c r="K23" s="11">
        <v>20</v>
      </c>
      <c r="L23" s="11">
        <v>354.760651</v>
      </c>
      <c r="M23" s="11">
        <v>407.44</v>
      </c>
      <c r="N23" s="8">
        <f t="shared" si="2"/>
        <v>0.12929351315531121</v>
      </c>
      <c r="P23" s="11">
        <v>20</v>
      </c>
      <c r="Q23" s="11">
        <v>376.857483</v>
      </c>
      <c r="R23" s="11">
        <v>350.25</v>
      </c>
      <c r="S23" s="8">
        <f t="shared" si="3"/>
        <v>7.5967117773019274E-2</v>
      </c>
      <c r="U23" s="11">
        <v>20</v>
      </c>
      <c r="V23" s="11">
        <v>359.49917599999998</v>
      </c>
      <c r="W23" s="11">
        <v>379.92</v>
      </c>
      <c r="X23" s="8">
        <f t="shared" si="4"/>
        <v>5.3750326384502098E-2</v>
      </c>
      <c r="Z23" s="11">
        <v>20</v>
      </c>
      <c r="AA23" s="11">
        <v>369.04510499999998</v>
      </c>
      <c r="AB23" s="11">
        <v>427.85</v>
      </c>
      <c r="AC23" s="8">
        <f t="shared" si="5"/>
        <v>0.13744278368587132</v>
      </c>
      <c r="AE23" s="11">
        <v>20</v>
      </c>
      <c r="AF23" s="11">
        <v>380.16021699999999</v>
      </c>
      <c r="AG23" s="11">
        <v>359.57</v>
      </c>
      <c r="AH23" s="8">
        <f t="shared" si="6"/>
        <v>5.7263445226242445E-2</v>
      </c>
      <c r="AJ23" s="11">
        <v>20</v>
      </c>
      <c r="AK23" s="11">
        <v>364.34774800000002</v>
      </c>
      <c r="AL23" s="11">
        <v>394.18</v>
      </c>
      <c r="AM23" s="8">
        <f t="shared" si="7"/>
        <v>7.5681800192805265E-2</v>
      </c>
      <c r="AO23" s="11">
        <v>20</v>
      </c>
      <c r="AP23" s="11">
        <v>352.46902499999999</v>
      </c>
      <c r="AQ23" s="11">
        <v>515.29</v>
      </c>
      <c r="AR23" s="8">
        <f t="shared" si="8"/>
        <v>0.31597930291680409</v>
      </c>
      <c r="AT23" s="11">
        <v>20</v>
      </c>
      <c r="AU23" s="11">
        <v>356.86047400000001</v>
      </c>
      <c r="AV23" s="11">
        <v>463.75</v>
      </c>
      <c r="AW23" s="8">
        <f t="shared" si="9"/>
        <v>0.23048954393530996</v>
      </c>
      <c r="AY23" s="11">
        <v>20</v>
      </c>
      <c r="AZ23" s="11">
        <v>367.46283</v>
      </c>
      <c r="BA23" s="11">
        <v>480.62</v>
      </c>
      <c r="BB23" s="8">
        <f t="shared" si="10"/>
        <v>0.23543999417419167</v>
      </c>
      <c r="BD23" s="11">
        <v>20</v>
      </c>
      <c r="BE23" s="11">
        <v>357.97219799999999</v>
      </c>
      <c r="BF23" s="11">
        <v>437.65</v>
      </c>
      <c r="BG23" s="8">
        <f t="shared" si="11"/>
        <v>0.18205827030732319</v>
      </c>
      <c r="BI23" s="13">
        <f t="shared" si="12"/>
        <v>43896</v>
      </c>
      <c r="BJ23" s="16">
        <f t="shared" si="13"/>
        <v>1.130832628145672</v>
      </c>
      <c r="BK23" s="11">
        <f t="shared" si="14"/>
        <v>0</v>
      </c>
      <c r="BL23" s="11">
        <v>1</v>
      </c>
    </row>
    <row r="24" spans="1:67" x14ac:dyDescent="0.25">
      <c r="A24" s="7">
        <v>21</v>
      </c>
      <c r="B24" s="7">
        <v>413.234802</v>
      </c>
      <c r="C24" s="9">
        <v>348.65</v>
      </c>
      <c r="D24" s="8">
        <f t="shared" si="0"/>
        <v>0.18524251254840104</v>
      </c>
      <c r="F24" s="11">
        <v>21</v>
      </c>
      <c r="G24" s="11">
        <v>390.00595099999998</v>
      </c>
      <c r="H24" s="11">
        <v>347.32</v>
      </c>
      <c r="I24" s="8">
        <f t="shared" si="1"/>
        <v>0.12290092997811813</v>
      </c>
      <c r="K24" s="11">
        <v>21</v>
      </c>
      <c r="L24" s="11">
        <v>385.99151599999999</v>
      </c>
      <c r="M24" s="11">
        <v>352.34</v>
      </c>
      <c r="N24" s="8">
        <f t="shared" si="2"/>
        <v>9.5508645058750119E-2</v>
      </c>
      <c r="P24" s="11">
        <v>21</v>
      </c>
      <c r="Q24" s="11">
        <v>406.56863399999997</v>
      </c>
      <c r="R24" s="11">
        <v>352.99</v>
      </c>
      <c r="S24" s="8">
        <f t="shared" si="3"/>
        <v>0.15178513272330652</v>
      </c>
      <c r="U24" s="11">
        <v>21</v>
      </c>
      <c r="V24" s="11">
        <v>374.85037199999999</v>
      </c>
      <c r="W24" s="11">
        <v>374.55</v>
      </c>
      <c r="X24" s="8">
        <f t="shared" si="4"/>
        <v>8.0195434521420814E-4</v>
      </c>
      <c r="Z24" s="11">
        <v>21</v>
      </c>
      <c r="AA24" s="11">
        <v>385.31854199999998</v>
      </c>
      <c r="AB24" s="11">
        <v>389.54</v>
      </c>
      <c r="AC24" s="8">
        <f t="shared" si="5"/>
        <v>1.0837033424038715E-2</v>
      </c>
      <c r="AE24" s="11">
        <v>21</v>
      </c>
      <c r="AF24" s="11">
        <v>419.19412199999999</v>
      </c>
      <c r="AG24" s="11">
        <v>415.61</v>
      </c>
      <c r="AH24" s="8">
        <f t="shared" si="6"/>
        <v>8.623762662111064E-3</v>
      </c>
      <c r="AJ24" s="11">
        <v>21</v>
      </c>
      <c r="AK24" s="11">
        <v>395.74877900000001</v>
      </c>
      <c r="AL24" s="11">
        <v>406.64</v>
      </c>
      <c r="AM24" s="8">
        <f t="shared" si="7"/>
        <v>2.6783447275231097E-2</v>
      </c>
      <c r="AO24" s="11">
        <v>21</v>
      </c>
      <c r="AP24" s="11">
        <v>381.64413500000001</v>
      </c>
      <c r="AQ24" s="11">
        <v>506.82</v>
      </c>
      <c r="AR24" s="8">
        <f t="shared" si="8"/>
        <v>0.24698288346947633</v>
      </c>
      <c r="AT24" s="11">
        <v>21</v>
      </c>
      <c r="AU24" s="11">
        <v>379.96252399999997</v>
      </c>
      <c r="AV24" s="11">
        <v>352.59</v>
      </c>
      <c r="AW24" s="8">
        <f t="shared" si="9"/>
        <v>7.7632729232252756E-2</v>
      </c>
      <c r="AY24" s="11">
        <v>21</v>
      </c>
      <c r="AZ24" s="11">
        <v>384.74160799999999</v>
      </c>
      <c r="BA24" s="11">
        <v>349.8</v>
      </c>
      <c r="BB24" s="8">
        <f t="shared" si="10"/>
        <v>9.9890245854774073E-2</v>
      </c>
      <c r="BD24" s="11">
        <v>21</v>
      </c>
      <c r="BE24" s="11">
        <v>359.35409499999997</v>
      </c>
      <c r="BF24" s="11">
        <v>377.43</v>
      </c>
      <c r="BG24" s="8">
        <f t="shared" si="11"/>
        <v>4.7892072702223017E-2</v>
      </c>
      <c r="BI24" s="13">
        <f t="shared" si="12"/>
        <v>43897</v>
      </c>
      <c r="BJ24" s="12">
        <f t="shared" si="13"/>
        <v>6.2969093607169332E-2</v>
      </c>
      <c r="BK24" s="11">
        <f t="shared" si="14"/>
        <v>1</v>
      </c>
      <c r="BL24" s="11">
        <v>1</v>
      </c>
    </row>
    <row r="25" spans="1:67" x14ac:dyDescent="0.25">
      <c r="A25" s="7">
        <v>22</v>
      </c>
      <c r="B25" s="7">
        <v>365.14398199999999</v>
      </c>
      <c r="C25" s="9">
        <v>631.52</v>
      </c>
      <c r="D25" s="10">
        <f t="shared" si="0"/>
        <v>0.42180139663035215</v>
      </c>
      <c r="F25" s="11">
        <v>22</v>
      </c>
      <c r="G25" s="11">
        <v>350.15167200000002</v>
      </c>
      <c r="H25" s="11">
        <v>397.75</v>
      </c>
      <c r="I25" s="8">
        <f t="shared" si="1"/>
        <v>0.11966895788812063</v>
      </c>
      <c r="K25" s="11">
        <v>22</v>
      </c>
      <c r="L25" s="11">
        <v>348.34603900000002</v>
      </c>
      <c r="M25" s="11">
        <v>561.24</v>
      </c>
      <c r="N25" s="8">
        <f t="shared" si="2"/>
        <v>0.37932784726676644</v>
      </c>
      <c r="P25" s="11">
        <v>22</v>
      </c>
      <c r="Q25" s="11">
        <v>374.02615400000002</v>
      </c>
      <c r="R25" s="11">
        <v>397.46</v>
      </c>
      <c r="S25" s="8">
        <f t="shared" si="3"/>
        <v>5.8959004679716098E-2</v>
      </c>
      <c r="U25" s="11">
        <v>22</v>
      </c>
      <c r="V25" s="11">
        <v>337.38363600000002</v>
      </c>
      <c r="W25" s="11">
        <v>360.68</v>
      </c>
      <c r="X25" s="8">
        <f t="shared" si="4"/>
        <v>6.4590118664744317E-2</v>
      </c>
      <c r="Z25" s="11">
        <v>22</v>
      </c>
      <c r="AA25" s="11">
        <v>350.70529199999999</v>
      </c>
      <c r="AB25" s="11">
        <v>395.68</v>
      </c>
      <c r="AC25" s="8">
        <f t="shared" si="5"/>
        <v>0.11366434492519213</v>
      </c>
      <c r="AE25" s="11">
        <v>22</v>
      </c>
      <c r="AF25" s="11">
        <v>392.29437300000001</v>
      </c>
      <c r="AG25" s="11">
        <v>395.06</v>
      </c>
      <c r="AH25" s="8">
        <f t="shared" si="6"/>
        <v>7.0005239710423609E-3</v>
      </c>
      <c r="AJ25" s="11">
        <v>22</v>
      </c>
      <c r="AK25" s="11">
        <v>344.02786300000002</v>
      </c>
      <c r="AL25" s="11">
        <v>473.64</v>
      </c>
      <c r="AM25" s="8">
        <f t="shared" si="7"/>
        <v>0.2736511633307997</v>
      </c>
      <c r="AO25" s="11">
        <v>22</v>
      </c>
      <c r="AP25" s="11">
        <v>364.66726699999998</v>
      </c>
      <c r="AQ25" s="11">
        <v>423.61</v>
      </c>
      <c r="AR25" s="8">
        <f t="shared" si="8"/>
        <v>0.13914386581997598</v>
      </c>
      <c r="AT25" s="11">
        <v>22</v>
      </c>
      <c r="AU25" s="11">
        <v>365.524719</v>
      </c>
      <c r="AV25" s="11">
        <v>349.13</v>
      </c>
      <c r="AW25" s="8">
        <f t="shared" si="9"/>
        <v>4.6958780396986824E-2</v>
      </c>
      <c r="AY25" s="11">
        <v>22</v>
      </c>
      <c r="AZ25" s="11">
        <v>349.64395100000002</v>
      </c>
      <c r="BA25" s="11">
        <v>355.23</v>
      </c>
      <c r="BB25" s="8">
        <f t="shared" si="10"/>
        <v>1.5725161163190053E-2</v>
      </c>
      <c r="BD25" s="11">
        <v>22</v>
      </c>
      <c r="BE25" s="11">
        <v>327.36135899999999</v>
      </c>
      <c r="BF25" s="11">
        <v>373.76</v>
      </c>
      <c r="BG25" s="8">
        <f t="shared" si="11"/>
        <v>0.12414019959332191</v>
      </c>
      <c r="BI25" s="13">
        <f t="shared" si="12"/>
        <v>43898</v>
      </c>
      <c r="BJ25" s="12">
        <f t="shared" si="13"/>
        <v>0.11172364289024672</v>
      </c>
      <c r="BK25" s="11">
        <f t="shared" si="14"/>
        <v>0</v>
      </c>
      <c r="BL25" s="11">
        <v>1</v>
      </c>
    </row>
    <row r="26" spans="1:67" x14ac:dyDescent="0.25">
      <c r="A26" s="7">
        <v>23</v>
      </c>
      <c r="B26" s="7">
        <v>307.67984000000001</v>
      </c>
      <c r="C26" s="9">
        <v>361.71</v>
      </c>
      <c r="D26" s="8">
        <f t="shared" si="0"/>
        <v>0.14937425008985089</v>
      </c>
      <c r="F26" s="11">
        <v>23</v>
      </c>
      <c r="G26" s="11">
        <v>301.69372600000003</v>
      </c>
      <c r="H26" s="11">
        <v>357.93</v>
      </c>
      <c r="I26" s="8">
        <f t="shared" si="1"/>
        <v>0.15711528511161393</v>
      </c>
      <c r="K26" s="11">
        <v>23</v>
      </c>
      <c r="L26" s="11">
        <v>288.982147</v>
      </c>
      <c r="M26" s="11">
        <v>351.26</v>
      </c>
      <c r="N26" s="8">
        <f t="shared" si="2"/>
        <v>0.17729844844274895</v>
      </c>
      <c r="P26" s="11">
        <v>23</v>
      </c>
      <c r="Q26" s="11">
        <v>277.716522</v>
      </c>
      <c r="R26" s="11">
        <v>342.39</v>
      </c>
      <c r="S26" s="8">
        <f t="shared" si="3"/>
        <v>0.18888833786033468</v>
      </c>
      <c r="U26" s="11">
        <v>23</v>
      </c>
      <c r="V26" s="11">
        <v>269.00451700000002</v>
      </c>
      <c r="W26" s="11">
        <v>342.31</v>
      </c>
      <c r="X26" s="8">
        <f t="shared" si="4"/>
        <v>0.21414940550962572</v>
      </c>
      <c r="Z26" s="11">
        <v>23</v>
      </c>
      <c r="AA26" s="11">
        <v>264.51968399999998</v>
      </c>
      <c r="AB26" s="11">
        <v>341.34</v>
      </c>
      <c r="AC26" s="8">
        <f t="shared" si="5"/>
        <v>0.22505512392336086</v>
      </c>
      <c r="AE26" s="11">
        <v>23</v>
      </c>
      <c r="AF26" s="11">
        <v>299.66894500000001</v>
      </c>
      <c r="AG26" s="11">
        <v>341.71</v>
      </c>
      <c r="AH26" s="8">
        <f t="shared" si="6"/>
        <v>0.12303138626320556</v>
      </c>
      <c r="AJ26" s="11">
        <v>23</v>
      </c>
      <c r="AK26" s="11">
        <v>231.571808</v>
      </c>
      <c r="AL26" s="11">
        <v>330.33</v>
      </c>
      <c r="AM26" s="8">
        <f t="shared" si="7"/>
        <v>0.29896828020464378</v>
      </c>
      <c r="AO26" s="11">
        <v>23</v>
      </c>
      <c r="AP26" s="11">
        <v>272.14154100000002</v>
      </c>
      <c r="AQ26" s="11">
        <v>323.85000000000002</v>
      </c>
      <c r="AR26" s="8">
        <f t="shared" si="8"/>
        <v>0.15966792959703566</v>
      </c>
      <c r="AT26" s="11">
        <v>23</v>
      </c>
      <c r="AU26" s="11">
        <v>262.57174700000002</v>
      </c>
      <c r="AV26" s="11">
        <v>309.95999999999998</v>
      </c>
      <c r="AW26" s="8">
        <f t="shared" si="9"/>
        <v>0.15288505936249827</v>
      </c>
      <c r="AY26" s="11">
        <v>23</v>
      </c>
      <c r="AZ26" s="11">
        <v>240.71031199999999</v>
      </c>
      <c r="BA26" s="11">
        <v>309.25</v>
      </c>
      <c r="BB26" s="8">
        <f t="shared" si="10"/>
        <v>0.22163197413096206</v>
      </c>
      <c r="BD26" s="11">
        <v>23</v>
      </c>
      <c r="BE26" s="11">
        <v>246.39007599999999</v>
      </c>
      <c r="BF26" s="11">
        <v>308.19</v>
      </c>
      <c r="BG26" s="8">
        <f t="shared" si="11"/>
        <v>0.20052540316038808</v>
      </c>
      <c r="BI26" s="13">
        <f t="shared" si="12"/>
        <v>43899</v>
      </c>
      <c r="BJ26" s="12">
        <f t="shared" si="13"/>
        <v>0.16214672569823177</v>
      </c>
      <c r="BK26" s="11">
        <f t="shared" si="14"/>
        <v>0</v>
      </c>
      <c r="BL26" s="11">
        <v>1</v>
      </c>
    </row>
    <row r="27" spans="1:67" x14ac:dyDescent="0.25">
      <c r="A27" s="7">
        <v>24</v>
      </c>
      <c r="B27" s="7">
        <v>269.342285</v>
      </c>
      <c r="C27" s="9">
        <v>325.97000000000003</v>
      </c>
      <c r="D27" s="8">
        <f t="shared" si="0"/>
        <v>0.17372063380065655</v>
      </c>
      <c r="F27" s="11">
        <v>24</v>
      </c>
      <c r="G27" s="11">
        <v>291.368652</v>
      </c>
      <c r="H27" s="11">
        <v>318.73</v>
      </c>
      <c r="I27" s="8">
        <f t="shared" si="1"/>
        <v>8.5844909484516729E-2</v>
      </c>
      <c r="K27" s="11">
        <v>24</v>
      </c>
      <c r="L27" s="11">
        <v>278.268372</v>
      </c>
      <c r="M27" s="11">
        <v>315.26</v>
      </c>
      <c r="N27" s="8">
        <f t="shared" si="2"/>
        <v>0.1173368901858783</v>
      </c>
      <c r="P27" s="11">
        <v>24</v>
      </c>
      <c r="Q27" s="11">
        <v>257.40057400000001</v>
      </c>
      <c r="R27" s="11">
        <v>318.76</v>
      </c>
      <c r="S27" s="8">
        <f t="shared" si="3"/>
        <v>0.19249412096875387</v>
      </c>
      <c r="U27" s="11">
        <v>24</v>
      </c>
      <c r="V27" s="11">
        <v>272.97952299999997</v>
      </c>
      <c r="W27" s="11">
        <v>319.02</v>
      </c>
      <c r="X27" s="8">
        <f t="shared" si="4"/>
        <v>0.14431846592690117</v>
      </c>
      <c r="Z27" s="11">
        <v>24</v>
      </c>
      <c r="AA27" s="11">
        <v>278.713257</v>
      </c>
      <c r="AB27" s="11">
        <v>324.26</v>
      </c>
      <c r="AC27" s="8">
        <f t="shared" si="5"/>
        <v>0.14046364954049217</v>
      </c>
      <c r="AE27" s="11">
        <v>24</v>
      </c>
      <c r="AF27" s="11">
        <v>267.720123</v>
      </c>
      <c r="AG27" s="11">
        <v>342.48</v>
      </c>
      <c r="AH27" s="8">
        <f t="shared" si="6"/>
        <v>0.21828975998598463</v>
      </c>
      <c r="AJ27" s="11">
        <v>24</v>
      </c>
      <c r="AK27" s="11">
        <v>295.854828</v>
      </c>
      <c r="AL27" s="11">
        <v>363.08</v>
      </c>
      <c r="AM27" s="8">
        <f t="shared" si="7"/>
        <v>0.18515250633469205</v>
      </c>
      <c r="AO27" s="11">
        <v>24</v>
      </c>
      <c r="AP27" s="11">
        <v>240.36352500000001</v>
      </c>
      <c r="AQ27" s="11">
        <v>355.84</v>
      </c>
      <c r="AR27" s="8">
        <f t="shared" si="8"/>
        <v>0.32451797156025175</v>
      </c>
      <c r="AT27" s="11">
        <v>24</v>
      </c>
      <c r="AU27" s="11">
        <v>262.03146400000003</v>
      </c>
      <c r="AV27" s="11">
        <v>342.41</v>
      </c>
      <c r="AW27" s="8">
        <f t="shared" si="9"/>
        <v>0.23474354136853476</v>
      </c>
      <c r="AY27" s="11">
        <v>24</v>
      </c>
      <c r="AZ27" s="11">
        <v>293.14498900000001</v>
      </c>
      <c r="BA27" s="11">
        <v>337.47</v>
      </c>
      <c r="BB27" s="8">
        <f t="shared" si="10"/>
        <v>0.13134504104068515</v>
      </c>
      <c r="BD27" s="11">
        <v>24</v>
      </c>
      <c r="BE27" s="11">
        <v>317.382721</v>
      </c>
      <c r="BF27" s="11">
        <v>327.72</v>
      </c>
      <c r="BG27" s="8">
        <f t="shared" si="11"/>
        <v>3.1543021481752788E-2</v>
      </c>
      <c r="BI27" s="13">
        <f t="shared" si="12"/>
        <v>43900</v>
      </c>
      <c r="BJ27" s="12">
        <f t="shared" si="13"/>
        <v>0.14688468119041323</v>
      </c>
      <c r="BK27" s="11">
        <f t="shared" si="14"/>
        <v>0</v>
      </c>
      <c r="BL27" s="11">
        <v>1</v>
      </c>
    </row>
    <row r="28" spans="1:67" x14ac:dyDescent="0.25">
      <c r="A28" s="7">
        <v>25</v>
      </c>
      <c r="B28" s="7">
        <v>346.38265999999999</v>
      </c>
      <c r="C28" s="9">
        <v>533.19000000000005</v>
      </c>
      <c r="D28" s="8">
        <f t="shared" si="0"/>
        <v>0.35035792119132025</v>
      </c>
      <c r="F28" s="11">
        <v>25</v>
      </c>
      <c r="G28" s="11">
        <v>342.89562999999998</v>
      </c>
      <c r="H28" s="11">
        <v>396.59</v>
      </c>
      <c r="I28" s="8">
        <f t="shared" si="1"/>
        <v>0.13539012582263799</v>
      </c>
      <c r="K28" s="11">
        <v>25</v>
      </c>
      <c r="L28" s="11">
        <v>328.42202800000001</v>
      </c>
      <c r="M28" s="11">
        <v>389.53</v>
      </c>
      <c r="N28" s="8">
        <f t="shared" si="2"/>
        <v>0.15687616358175227</v>
      </c>
      <c r="P28" s="11">
        <v>25</v>
      </c>
      <c r="Q28" s="11">
        <v>341.65731799999998</v>
      </c>
      <c r="R28" s="11">
        <v>376.19</v>
      </c>
      <c r="S28" s="8">
        <f t="shared" si="3"/>
        <v>9.1795853159307855E-2</v>
      </c>
      <c r="U28" s="11">
        <v>25</v>
      </c>
      <c r="V28" s="11">
        <v>334.93478399999998</v>
      </c>
      <c r="W28" s="11">
        <v>375.43</v>
      </c>
      <c r="X28" s="8">
        <f t="shared" si="4"/>
        <v>0.10786355911887709</v>
      </c>
      <c r="Z28" s="11">
        <v>25</v>
      </c>
      <c r="AA28" s="11">
        <v>343.906586</v>
      </c>
      <c r="AB28" s="11">
        <v>399.13</v>
      </c>
      <c r="AC28" s="8">
        <f t="shared" si="5"/>
        <v>0.13835946684037781</v>
      </c>
      <c r="AE28" s="11">
        <v>25</v>
      </c>
      <c r="AF28" s="11">
        <v>329.10012799999998</v>
      </c>
      <c r="AG28" s="11">
        <v>487.15</v>
      </c>
      <c r="AH28" s="8">
        <f t="shared" si="6"/>
        <v>0.32443779534024431</v>
      </c>
      <c r="AJ28" s="11">
        <v>25</v>
      </c>
      <c r="AK28" s="11">
        <v>345.141144</v>
      </c>
      <c r="AL28" s="11">
        <v>415.3</v>
      </c>
      <c r="AM28" s="8">
        <f t="shared" si="7"/>
        <v>0.16893536238863474</v>
      </c>
      <c r="AO28" s="11">
        <v>25</v>
      </c>
      <c r="AP28" s="11">
        <v>301.48608400000001</v>
      </c>
      <c r="AQ28" s="11">
        <v>355.6</v>
      </c>
      <c r="AR28" s="8">
        <f t="shared" si="8"/>
        <v>0.15217636670416201</v>
      </c>
      <c r="AT28" s="11">
        <v>25</v>
      </c>
      <c r="AU28" s="11">
        <v>315.22640999999999</v>
      </c>
      <c r="AV28" s="11">
        <v>360.11</v>
      </c>
      <c r="AW28" s="8">
        <f t="shared" si="9"/>
        <v>0.12463855488600713</v>
      </c>
      <c r="AY28" s="11">
        <v>25</v>
      </c>
      <c r="AZ28" s="11">
        <v>319.11831699999999</v>
      </c>
      <c r="BA28" s="11">
        <v>366.41</v>
      </c>
      <c r="BB28" s="8">
        <f t="shared" si="10"/>
        <v>0.12906766463797395</v>
      </c>
      <c r="BD28" s="11">
        <v>25</v>
      </c>
      <c r="BE28" s="11">
        <v>317.065155</v>
      </c>
      <c r="BF28" s="11">
        <v>376.46</v>
      </c>
      <c r="BG28" s="8">
        <f t="shared" si="11"/>
        <v>0.15777199436859157</v>
      </c>
      <c r="BI28" s="13">
        <f t="shared" si="12"/>
        <v>43901</v>
      </c>
      <c r="BJ28" s="12">
        <f t="shared" si="13"/>
        <v>0.12495034743502</v>
      </c>
      <c r="BK28" s="11">
        <f t="shared" si="14"/>
        <v>0</v>
      </c>
      <c r="BL28" s="11">
        <v>1</v>
      </c>
    </row>
    <row r="29" spans="1:67" x14ac:dyDescent="0.25">
      <c r="A29" s="7">
        <v>26</v>
      </c>
      <c r="B29" s="7">
        <v>397.20443699999998</v>
      </c>
      <c r="C29" s="9">
        <v>495.9</v>
      </c>
      <c r="D29" s="8">
        <f t="shared" si="0"/>
        <v>0.19902311554748942</v>
      </c>
      <c r="F29" s="11">
        <v>26</v>
      </c>
      <c r="G29" s="11">
        <v>378.16482500000001</v>
      </c>
      <c r="H29" s="11">
        <v>459.8</v>
      </c>
      <c r="I29" s="8">
        <f t="shared" si="1"/>
        <v>0.17754496520226185</v>
      </c>
      <c r="K29" s="11">
        <v>26</v>
      </c>
      <c r="L29" s="11">
        <v>374.64965799999999</v>
      </c>
      <c r="M29" s="11">
        <v>464.08</v>
      </c>
      <c r="N29" s="8">
        <f t="shared" si="2"/>
        <v>0.19270458110670574</v>
      </c>
      <c r="P29" s="11">
        <v>26</v>
      </c>
      <c r="Q29" s="11">
        <v>393.81445300000001</v>
      </c>
      <c r="R29" s="11">
        <v>455.19</v>
      </c>
      <c r="S29" s="8">
        <f t="shared" si="3"/>
        <v>0.13483500735956411</v>
      </c>
      <c r="U29" s="11">
        <v>26</v>
      </c>
      <c r="V29" s="11">
        <v>369.64724699999999</v>
      </c>
      <c r="W29" s="11">
        <v>567.92999999999995</v>
      </c>
      <c r="X29" s="8">
        <f t="shared" si="4"/>
        <v>0.34913238075114889</v>
      </c>
      <c r="Z29" s="11">
        <v>26</v>
      </c>
      <c r="AA29" s="11">
        <v>382.103363</v>
      </c>
      <c r="AB29" s="11">
        <v>574.4</v>
      </c>
      <c r="AC29" s="8">
        <f t="shared" si="5"/>
        <v>0.33477826775766012</v>
      </c>
      <c r="AE29" s="11">
        <v>26</v>
      </c>
      <c r="AF29" s="11">
        <v>382.318512</v>
      </c>
      <c r="AG29" s="11">
        <v>577.23</v>
      </c>
      <c r="AH29" s="8">
        <f t="shared" si="6"/>
        <v>0.33766694038771378</v>
      </c>
      <c r="AJ29" s="11">
        <v>26</v>
      </c>
      <c r="AK29" s="11">
        <v>382.42697099999998</v>
      </c>
      <c r="AL29" s="11">
        <v>541.29</v>
      </c>
      <c r="AM29" s="8">
        <f t="shared" si="7"/>
        <v>0.29348968020839106</v>
      </c>
      <c r="AO29" s="11">
        <v>26</v>
      </c>
      <c r="AP29" s="11">
        <v>352.10406499999999</v>
      </c>
      <c r="AQ29" s="11">
        <v>362.31</v>
      </c>
      <c r="AR29" s="8">
        <f t="shared" si="8"/>
        <v>2.8169067925257404E-2</v>
      </c>
      <c r="AT29" s="11">
        <v>26</v>
      </c>
      <c r="AU29" s="11">
        <v>361.538208</v>
      </c>
      <c r="AV29" s="11">
        <v>367.92</v>
      </c>
      <c r="AW29" s="8">
        <f t="shared" si="9"/>
        <v>1.7345596868884591E-2</v>
      </c>
      <c r="AY29" s="11">
        <v>26</v>
      </c>
      <c r="AZ29" s="11">
        <v>374.43444799999997</v>
      </c>
      <c r="BA29" s="11">
        <v>374.8</v>
      </c>
      <c r="BB29" s="8">
        <f t="shared" si="10"/>
        <v>9.7532550693713049E-4</v>
      </c>
      <c r="BD29" s="11">
        <v>26</v>
      </c>
      <c r="BE29" s="11">
        <v>356.59686299999998</v>
      </c>
      <c r="BF29" s="11">
        <v>375.13</v>
      </c>
      <c r="BG29" s="8">
        <f t="shared" si="11"/>
        <v>4.9404571748460566E-2</v>
      </c>
      <c r="BI29" s="13">
        <f t="shared" si="12"/>
        <v>43902</v>
      </c>
      <c r="BJ29" s="12">
        <f t="shared" si="13"/>
        <v>9.4302973542267687E-2</v>
      </c>
      <c r="BK29" s="11">
        <f t="shared" si="14"/>
        <v>1</v>
      </c>
      <c r="BL29" s="11">
        <v>1</v>
      </c>
    </row>
    <row r="30" spans="1:67" x14ac:dyDescent="0.25">
      <c r="A30" s="7">
        <v>27</v>
      </c>
      <c r="B30" s="7">
        <v>419.91012599999999</v>
      </c>
      <c r="C30" s="9">
        <v>423.49</v>
      </c>
      <c r="D30" s="8">
        <f t="shared" si="0"/>
        <v>8.4532669012255725E-3</v>
      </c>
      <c r="F30" s="11">
        <v>27</v>
      </c>
      <c r="G30" s="11">
        <v>388.31991599999998</v>
      </c>
      <c r="H30" s="11">
        <v>420.62</v>
      </c>
      <c r="I30" s="8">
        <f t="shared" si="1"/>
        <v>7.6791602871950998E-2</v>
      </c>
      <c r="K30" s="11">
        <v>27</v>
      </c>
      <c r="L30" s="11">
        <v>383.419556</v>
      </c>
      <c r="M30" s="11">
        <v>397.54</v>
      </c>
      <c r="N30" s="8">
        <f t="shared" si="2"/>
        <v>3.5519555264879057E-2</v>
      </c>
      <c r="P30" s="11">
        <v>27</v>
      </c>
      <c r="Q30" s="11">
        <v>401.08795199999997</v>
      </c>
      <c r="R30" s="11">
        <v>402.05</v>
      </c>
      <c r="S30" s="8">
        <f t="shared" si="3"/>
        <v>2.3928566098744891E-3</v>
      </c>
      <c r="U30" s="11">
        <v>27</v>
      </c>
      <c r="V30" s="11">
        <v>378.82806399999998</v>
      </c>
      <c r="W30" s="11">
        <v>387.15</v>
      </c>
      <c r="X30" s="8">
        <f t="shared" si="4"/>
        <v>2.1495379052046994E-2</v>
      </c>
      <c r="Z30" s="11">
        <v>27</v>
      </c>
      <c r="AA30" s="11">
        <v>394.01162699999998</v>
      </c>
      <c r="AB30" s="11">
        <v>411.35</v>
      </c>
      <c r="AC30" s="8">
        <f t="shared" si="5"/>
        <v>4.2149928284915636E-2</v>
      </c>
      <c r="AE30" s="11">
        <v>27</v>
      </c>
      <c r="AF30" s="11">
        <v>408.91940299999999</v>
      </c>
      <c r="AG30" s="11">
        <v>409.04</v>
      </c>
      <c r="AH30" s="8">
        <f t="shared" si="6"/>
        <v>2.9482935654222579E-4</v>
      </c>
      <c r="AJ30" s="11">
        <v>27</v>
      </c>
      <c r="AK30" s="11">
        <v>388.10580399999998</v>
      </c>
      <c r="AL30" s="11">
        <v>372.87</v>
      </c>
      <c r="AM30" s="8">
        <f t="shared" si="7"/>
        <v>4.0860900581972198E-2</v>
      </c>
      <c r="AO30" s="11">
        <v>27</v>
      </c>
      <c r="AP30" s="11">
        <v>368.91027800000001</v>
      </c>
      <c r="AQ30" s="11">
        <v>355.44</v>
      </c>
      <c r="AR30" s="8">
        <f t="shared" si="8"/>
        <v>3.7897473553905041E-2</v>
      </c>
      <c r="AT30" s="11">
        <v>27</v>
      </c>
      <c r="AU30" s="11">
        <v>362.03573599999999</v>
      </c>
      <c r="AV30" s="11">
        <v>357.49</v>
      </c>
      <c r="AW30" s="8">
        <f t="shared" si="9"/>
        <v>1.2715701138493319E-2</v>
      </c>
      <c r="AY30" s="11">
        <v>27</v>
      </c>
      <c r="AZ30" s="11">
        <v>369.13824499999998</v>
      </c>
      <c r="BA30" s="11">
        <v>361.61</v>
      </c>
      <c r="BB30" s="8">
        <f t="shared" si="10"/>
        <v>2.0818685877049777E-2</v>
      </c>
      <c r="BD30" s="11">
        <v>27</v>
      </c>
      <c r="BE30" s="11">
        <v>360.65475500000002</v>
      </c>
      <c r="BF30" s="11">
        <v>362.27</v>
      </c>
      <c r="BG30" s="8">
        <f t="shared" si="11"/>
        <v>4.4586772296904493E-3</v>
      </c>
      <c r="BI30" s="13">
        <f t="shared" si="12"/>
        <v>43903</v>
      </c>
      <c r="BJ30" s="12">
        <f t="shared" si="13"/>
        <v>8.0495338059069041E-2</v>
      </c>
      <c r="BK30" s="11">
        <f t="shared" si="14"/>
        <v>1</v>
      </c>
      <c r="BL30" s="11">
        <v>1</v>
      </c>
    </row>
    <row r="31" spans="1:67" x14ac:dyDescent="0.25">
      <c r="A31" s="7">
        <v>28</v>
      </c>
      <c r="B31" s="7">
        <v>485.68279999999999</v>
      </c>
      <c r="C31" s="9">
        <v>469.91</v>
      </c>
      <c r="D31" s="8">
        <f t="shared" si="0"/>
        <v>3.3565576386967631E-2</v>
      </c>
      <c r="F31" s="11">
        <v>28</v>
      </c>
      <c r="G31" s="11">
        <v>430.79409800000002</v>
      </c>
      <c r="H31" s="11">
        <v>441.09</v>
      </c>
      <c r="I31" s="8">
        <f t="shared" si="1"/>
        <v>2.3341952889432895E-2</v>
      </c>
      <c r="K31" s="11">
        <v>28</v>
      </c>
      <c r="L31" s="11">
        <v>431.670502</v>
      </c>
      <c r="M31" s="11">
        <v>420.78</v>
      </c>
      <c r="N31" s="8">
        <f t="shared" si="2"/>
        <v>2.5881700651171697E-2</v>
      </c>
      <c r="P31" s="11">
        <v>28</v>
      </c>
      <c r="Q31" s="11">
        <v>487.67211900000001</v>
      </c>
      <c r="R31" s="11">
        <v>434.63</v>
      </c>
      <c r="S31" s="8">
        <f t="shared" si="3"/>
        <v>0.122039709638083</v>
      </c>
      <c r="U31" s="11">
        <v>28</v>
      </c>
      <c r="V31" s="11">
        <v>445.26416</v>
      </c>
      <c r="W31" s="11">
        <v>422.01</v>
      </c>
      <c r="X31" s="8">
        <f t="shared" si="4"/>
        <v>5.5103338783441182E-2</v>
      </c>
      <c r="Z31" s="11">
        <v>28</v>
      </c>
      <c r="AA31" s="11">
        <v>471.16052200000001</v>
      </c>
      <c r="AB31" s="11">
        <v>434.22</v>
      </c>
      <c r="AC31" s="8">
        <f t="shared" si="5"/>
        <v>8.5073285431348136E-2</v>
      </c>
      <c r="AE31" s="11">
        <v>28</v>
      </c>
      <c r="AF31" s="11">
        <v>504.37515300000001</v>
      </c>
      <c r="AG31" s="11">
        <v>543.72</v>
      </c>
      <c r="AH31" s="8">
        <f t="shared" si="6"/>
        <v>7.2362331714853262E-2</v>
      </c>
      <c r="AJ31" s="11">
        <v>28</v>
      </c>
      <c r="AK31" s="11">
        <v>478.49432400000001</v>
      </c>
      <c r="AL31" s="11">
        <v>546.65</v>
      </c>
      <c r="AM31" s="8">
        <f t="shared" si="7"/>
        <v>0.12467881825665413</v>
      </c>
      <c r="AO31" s="11">
        <v>28</v>
      </c>
      <c r="AP31" s="11">
        <v>451.12890599999997</v>
      </c>
      <c r="AQ31" s="11">
        <v>402.97</v>
      </c>
      <c r="AR31" s="8">
        <f t="shared" si="8"/>
        <v>0.11950990396307402</v>
      </c>
      <c r="AT31" s="11">
        <v>28</v>
      </c>
      <c r="AU31" s="11">
        <v>427.22305299999999</v>
      </c>
      <c r="AV31" s="11">
        <v>370.32</v>
      </c>
      <c r="AW31" s="8">
        <f t="shared" si="9"/>
        <v>0.15365914074314108</v>
      </c>
      <c r="AY31" s="11">
        <v>28</v>
      </c>
      <c r="AZ31" s="11">
        <v>396.98117100000002</v>
      </c>
      <c r="BA31" s="11">
        <v>375.07</v>
      </c>
      <c r="BB31" s="8">
        <f t="shared" si="10"/>
        <v>5.8418884474898083E-2</v>
      </c>
      <c r="BD31" s="11">
        <v>28</v>
      </c>
      <c r="BE31" s="11">
        <v>371.489868</v>
      </c>
      <c r="BF31" s="11">
        <v>379.02</v>
      </c>
      <c r="BG31" s="8">
        <f t="shared" si="11"/>
        <v>1.9867373753363889E-2</v>
      </c>
      <c r="BI31" s="13">
        <f t="shared" si="12"/>
        <v>43904</v>
      </c>
      <c r="BJ31" s="12">
        <f t="shared" si="13"/>
        <v>6.1971052929083947E-2</v>
      </c>
      <c r="BK31" s="11">
        <f t="shared" si="14"/>
        <v>1</v>
      </c>
      <c r="BL31" s="11">
        <v>1</v>
      </c>
    </row>
    <row r="32" spans="1:67" x14ac:dyDescent="0.25">
      <c r="D32" s="15">
        <f>AVERAGE(D3:D31)</f>
        <v>0.21886618228020785</v>
      </c>
      <c r="I32" s="15">
        <f>AVERAGE(I3:I31)</f>
        <v>9.8961104876651676E-2</v>
      </c>
      <c r="M32" s="6"/>
      <c r="N32" s="15">
        <f>AVERAGE(N3:N31)</f>
        <v>0.1042463475134079</v>
      </c>
      <c r="S32" s="15">
        <f>AVERAGE(S3:S31)</f>
        <v>0.15313118661005737</v>
      </c>
      <c r="X32" s="15">
        <f>AVERAGE(X3:X31)</f>
        <v>0.15461640862827439</v>
      </c>
      <c r="AC32" s="15">
        <f>AVERAGE(AC3:AC31)</f>
        <v>0.16290422939968258</v>
      </c>
      <c r="AH32" s="15">
        <f>AVERAGE(AH3:AH31)</f>
        <v>0.17234174997977605</v>
      </c>
      <c r="AM32" s="15">
        <f>AVERAGE(AM3:AM31)</f>
        <v>0.16597626931162426</v>
      </c>
      <c r="AR32" s="15">
        <f>AVERAGE(AR3:AR31)</f>
        <v>0.22461355390903809</v>
      </c>
      <c r="AW32" s="15">
        <f>AVERAGE(AW3:AW31)</f>
        <v>0.19642954570764676</v>
      </c>
      <c r="BB32" s="15">
        <f>AVERAGE(BB3:BB31)</f>
        <v>0.14884122657448218</v>
      </c>
      <c r="BG32" s="15">
        <f>AVERAGE(BG3:BG31)</f>
        <v>0.17111657375187259</v>
      </c>
      <c r="BI32" s="13">
        <f t="shared" si="12"/>
        <v>43905</v>
      </c>
      <c r="BJ32" s="12">
        <f t="shared" si="13"/>
        <v>0.13607927480643697</v>
      </c>
      <c r="BK32" s="11">
        <f t="shared" si="14"/>
        <v>0</v>
      </c>
      <c r="BL32" s="11">
        <v>1</v>
      </c>
    </row>
    <row r="33" spans="1:64" ht="15" customHeight="1" x14ac:dyDescent="0.25">
      <c r="A33" s="23" t="s">
        <v>19</v>
      </c>
      <c r="B33" s="23"/>
      <c r="C33" s="23"/>
      <c r="D33" s="23"/>
      <c r="F33" s="23" t="s">
        <v>20</v>
      </c>
      <c r="G33" s="23"/>
      <c r="H33" s="23"/>
      <c r="I33" s="23"/>
      <c r="K33" s="23" t="s">
        <v>21</v>
      </c>
      <c r="L33" s="23"/>
      <c r="M33" s="23"/>
      <c r="N33" s="23"/>
      <c r="P33" s="23" t="s">
        <v>22</v>
      </c>
      <c r="Q33" s="23"/>
      <c r="R33" s="23"/>
      <c r="S33" s="23"/>
      <c r="U33" s="23" t="s">
        <v>23</v>
      </c>
      <c r="V33" s="23"/>
      <c r="W33" s="23"/>
      <c r="X33" s="23"/>
      <c r="Z33" s="23" t="s">
        <v>24</v>
      </c>
      <c r="AA33" s="23"/>
      <c r="AB33" s="23"/>
      <c r="AC33" s="23"/>
      <c r="AE33" s="23" t="s">
        <v>25</v>
      </c>
      <c r="AF33" s="23"/>
      <c r="AG33" s="23"/>
      <c r="AH33" s="23"/>
      <c r="AJ33" s="23" t="s">
        <v>26</v>
      </c>
      <c r="AK33" s="23"/>
      <c r="AL33" s="23"/>
      <c r="AM33" s="23"/>
      <c r="AO33" s="23" t="s">
        <v>27</v>
      </c>
      <c r="AP33" s="23"/>
      <c r="AQ33" s="23"/>
      <c r="AR33" s="23"/>
      <c r="AT33" s="23" t="s">
        <v>28</v>
      </c>
      <c r="AU33" s="23"/>
      <c r="AV33" s="23"/>
      <c r="AW33" s="23"/>
      <c r="AY33" s="23" t="s">
        <v>29</v>
      </c>
      <c r="AZ33" s="23"/>
      <c r="BA33" s="23"/>
      <c r="BB33" s="23"/>
      <c r="BD33" s="23" t="s">
        <v>30</v>
      </c>
      <c r="BE33" s="23"/>
      <c r="BF33" s="23"/>
      <c r="BG33" s="23"/>
      <c r="BI33" s="13">
        <f t="shared" si="12"/>
        <v>43906</v>
      </c>
      <c r="BJ33" s="16">
        <f t="shared" si="13"/>
        <v>0.31169531003424461</v>
      </c>
      <c r="BK33" s="11">
        <f t="shared" si="14"/>
        <v>0</v>
      </c>
      <c r="BL33" s="11">
        <v>1</v>
      </c>
    </row>
    <row r="34" spans="1:64" x14ac:dyDescent="0.25">
      <c r="A34" s="23"/>
      <c r="B34" s="23"/>
      <c r="C34" s="23"/>
      <c r="D34" s="23"/>
      <c r="F34" s="23"/>
      <c r="G34" s="23"/>
      <c r="H34" s="23"/>
      <c r="I34" s="23"/>
      <c r="K34" s="23"/>
      <c r="L34" s="23"/>
      <c r="M34" s="23"/>
      <c r="N34" s="23"/>
      <c r="P34" s="23"/>
      <c r="Q34" s="23"/>
      <c r="R34" s="23"/>
      <c r="S34" s="23"/>
      <c r="U34" s="23"/>
      <c r="V34" s="23"/>
      <c r="W34" s="23"/>
      <c r="X34" s="23"/>
      <c r="Z34" s="23"/>
      <c r="AA34" s="23"/>
      <c r="AB34" s="23"/>
      <c r="AC34" s="23"/>
      <c r="AE34" s="23"/>
      <c r="AF34" s="23"/>
      <c r="AG34" s="23"/>
      <c r="AH34" s="23"/>
      <c r="AJ34" s="23"/>
      <c r="AK34" s="23"/>
      <c r="AL34" s="23"/>
      <c r="AM34" s="23"/>
      <c r="AO34" s="23"/>
      <c r="AP34" s="23"/>
      <c r="AQ34" s="23"/>
      <c r="AR34" s="23"/>
      <c r="AT34" s="23"/>
      <c r="AU34" s="23"/>
      <c r="AV34" s="23"/>
      <c r="AW34" s="23"/>
      <c r="AY34" s="23"/>
      <c r="AZ34" s="23"/>
      <c r="BA34" s="23"/>
      <c r="BB34" s="23"/>
      <c r="BD34" s="23"/>
      <c r="BE34" s="23"/>
      <c r="BF34" s="23"/>
      <c r="BG34" s="23"/>
      <c r="BI34" s="13">
        <f t="shared" si="12"/>
        <v>43907</v>
      </c>
      <c r="BJ34" s="16">
        <f t="shared" si="13"/>
        <v>0.29640785267282704</v>
      </c>
      <c r="BK34" s="11">
        <f t="shared" si="14"/>
        <v>0</v>
      </c>
      <c r="BL34" s="11">
        <v>1</v>
      </c>
    </row>
    <row r="35" spans="1:64" x14ac:dyDescent="0.25">
      <c r="A35" s="11">
        <v>0</v>
      </c>
      <c r="B35" s="11">
        <v>286.84359699999999</v>
      </c>
      <c r="C35" s="11">
        <v>294.48</v>
      </c>
      <c r="D35" s="8">
        <f>ABS((C35-B35)/C35)</f>
        <v>2.5931822195055791E-2</v>
      </c>
      <c r="F35" s="11">
        <v>0</v>
      </c>
      <c r="G35" s="11">
        <v>295.36505099999999</v>
      </c>
      <c r="H35" s="11">
        <v>287.87</v>
      </c>
      <c r="I35" s="8">
        <f>ABS((H35-G35)/H35)</f>
        <v>2.6036235106124257E-2</v>
      </c>
      <c r="K35" s="11">
        <v>0</v>
      </c>
      <c r="L35" s="11">
        <v>297.26828</v>
      </c>
      <c r="M35" s="11">
        <v>280.94</v>
      </c>
      <c r="N35" s="8">
        <f>ABS((M35-L35)/M35)</f>
        <v>5.8120168007403737E-2</v>
      </c>
      <c r="P35" s="11">
        <v>0</v>
      </c>
      <c r="Q35" s="11">
        <v>302.64505000000003</v>
      </c>
      <c r="R35" s="11">
        <v>273.5</v>
      </c>
      <c r="S35" s="8">
        <f>ABS((R35-Q35)/R35)</f>
        <v>0.10656325411334562</v>
      </c>
      <c r="U35" s="11">
        <v>0</v>
      </c>
      <c r="V35" s="11">
        <v>301.85092200000003</v>
      </c>
      <c r="W35" s="11">
        <v>287.45999999999998</v>
      </c>
      <c r="X35" s="8">
        <f>ABS((W35-V35)/W35)</f>
        <v>5.006234606553972E-2</v>
      </c>
      <c r="Z35" s="11">
        <v>0</v>
      </c>
      <c r="AA35" s="11">
        <v>312.97247299999998</v>
      </c>
      <c r="AB35" s="11">
        <v>284.73</v>
      </c>
      <c r="AC35" s="8">
        <f>ABS((AB35-AA35)/AB35)</f>
        <v>9.9190366311944514E-2</v>
      </c>
      <c r="AE35" s="11">
        <v>0</v>
      </c>
      <c r="AF35" s="11">
        <v>331.53033399999998</v>
      </c>
      <c r="AG35" s="11">
        <v>296.3</v>
      </c>
      <c r="AH35" s="8">
        <f>ABS((AG35-AF35)/AG35)</f>
        <v>0.11890089098886254</v>
      </c>
      <c r="AJ35" s="11">
        <v>0</v>
      </c>
      <c r="AK35" s="11">
        <v>362.549194</v>
      </c>
      <c r="AL35" s="11">
        <v>291.45</v>
      </c>
      <c r="AM35" s="8">
        <f>ABS((AL35-AK35)/AL35)</f>
        <v>0.24394988505747131</v>
      </c>
      <c r="AO35" s="11">
        <v>0</v>
      </c>
      <c r="AP35" s="11">
        <v>344.72155800000002</v>
      </c>
      <c r="AQ35" s="11">
        <v>296.25</v>
      </c>
      <c r="AR35" s="8">
        <f>ABS((AQ35-AP35)/AQ35)</f>
        <v>0.16361707341772158</v>
      </c>
      <c r="AT35" s="11">
        <v>0</v>
      </c>
      <c r="AU35" s="11">
        <v>337.00683600000002</v>
      </c>
      <c r="AV35" s="11">
        <v>283.95999999999998</v>
      </c>
      <c r="AW35" s="8">
        <f>ABS((AV35-AU35)/AV35)</f>
        <v>0.18681094520354996</v>
      </c>
      <c r="AY35" s="11">
        <v>0</v>
      </c>
      <c r="AZ35" s="11">
        <v>309.90432700000002</v>
      </c>
      <c r="BA35" s="11">
        <v>283.38</v>
      </c>
      <c r="BB35" s="8">
        <f>ABS((BA35-AZ35)/BA35)</f>
        <v>9.3599855317947733E-2</v>
      </c>
      <c r="BD35" s="11">
        <v>0</v>
      </c>
      <c r="BE35" s="11">
        <v>288.357574</v>
      </c>
      <c r="BF35" s="11">
        <v>284.19</v>
      </c>
      <c r="BG35" s="8">
        <f>ABS((BF35-BE35)/BF35)</f>
        <v>1.4664745416798627E-2</v>
      </c>
      <c r="BI35" s="13">
        <f t="shared" si="12"/>
        <v>43908</v>
      </c>
      <c r="BJ35" s="12">
        <f t="shared" si="13"/>
        <v>0.18530103313928389</v>
      </c>
      <c r="BK35" s="11">
        <f t="shared" si="14"/>
        <v>0</v>
      </c>
      <c r="BL35" s="11">
        <v>1</v>
      </c>
    </row>
    <row r="36" spans="1:64" x14ac:dyDescent="0.25">
      <c r="A36" s="11">
        <v>1</v>
      </c>
      <c r="B36" s="11">
        <v>262.430115</v>
      </c>
      <c r="C36" s="11">
        <v>156</v>
      </c>
      <c r="D36" s="10">
        <f t="shared" ref="D36:D63" si="15">ABS((C36-B36)/C36)</f>
        <v>0.6822443269230769</v>
      </c>
      <c r="F36" s="11">
        <v>1</v>
      </c>
      <c r="G36" s="11">
        <v>280.27075200000002</v>
      </c>
      <c r="H36" s="11">
        <v>222.92</v>
      </c>
      <c r="I36" s="8">
        <f t="shared" ref="I36:I63" si="16">ABS((H36-G36)/H36)</f>
        <v>0.25727055445899888</v>
      </c>
      <c r="K36" s="11">
        <v>1</v>
      </c>
      <c r="L36" s="11">
        <v>281.83367900000002</v>
      </c>
      <c r="M36" s="11">
        <v>180.63</v>
      </c>
      <c r="N36" s="10">
        <f t="shared" ref="N36:N63" si="17">ABS((M36-L36)/M36)</f>
        <v>0.56028167524774419</v>
      </c>
      <c r="P36" s="11">
        <v>1</v>
      </c>
      <c r="Q36" s="11">
        <v>253.21608000000001</v>
      </c>
      <c r="R36" s="11">
        <v>98.17</v>
      </c>
      <c r="S36" s="10">
        <f t="shared" ref="S36:S63" si="18">ABS((R36-Q36)/R36)</f>
        <v>1.579363145563818</v>
      </c>
      <c r="U36" s="11">
        <v>1</v>
      </c>
      <c r="V36" s="11">
        <v>247.79737900000001</v>
      </c>
      <c r="W36" s="11">
        <v>21.44</v>
      </c>
      <c r="X36" s="10">
        <f t="shared" ref="X36:X63" si="19">ABS((W36-V36)/W36)</f>
        <v>10.557713572761195</v>
      </c>
      <c r="Z36" s="11">
        <v>1</v>
      </c>
      <c r="AA36" s="11">
        <v>280.442902</v>
      </c>
      <c r="AB36" s="11">
        <v>56.96</v>
      </c>
      <c r="AC36" s="10">
        <f t="shared" ref="AC36:AC63" si="20">ABS((AB36-AA36)/AB36)</f>
        <v>3.9235060042134831</v>
      </c>
      <c r="AE36" s="11">
        <v>1</v>
      </c>
      <c r="AF36" s="11">
        <v>305.20883199999997</v>
      </c>
      <c r="AG36" s="11">
        <v>104.5</v>
      </c>
      <c r="AH36" s="10">
        <f t="shared" ref="AH36:AH63" si="21">ABS((AG36-AF36)/AG36)</f>
        <v>1.9206586794258371</v>
      </c>
      <c r="AJ36" s="11">
        <v>1</v>
      </c>
      <c r="AK36" s="11">
        <v>335.59875499999998</v>
      </c>
      <c r="AL36" s="11">
        <v>203.57</v>
      </c>
      <c r="AM36" s="10">
        <f t="shared" ref="AM36:AM63" si="22">ABS((AL36-AK36)/AL36)</f>
        <v>0.64856685660952007</v>
      </c>
      <c r="AO36" s="11">
        <v>1</v>
      </c>
      <c r="AP36" s="11">
        <v>330.20938100000001</v>
      </c>
      <c r="AQ36" s="11">
        <v>137.30000000000001</v>
      </c>
      <c r="AR36" s="10">
        <f t="shared" ref="AR36:AR63" si="23">ABS((AQ36-AP36)/AQ36)</f>
        <v>1.4050209832483611</v>
      </c>
      <c r="AT36" s="11">
        <v>1</v>
      </c>
      <c r="AU36" s="11">
        <v>334.42764299999999</v>
      </c>
      <c r="AV36" s="11">
        <v>251.61</v>
      </c>
      <c r="AW36" s="8">
        <f t="shared" ref="AW36:AW63" si="24">ABS((AV36-AU36)/AV36)</f>
        <v>0.32915084058662203</v>
      </c>
      <c r="AY36" s="11">
        <v>1</v>
      </c>
      <c r="AZ36" s="11">
        <v>306.89636200000001</v>
      </c>
      <c r="BA36" s="11">
        <v>233.56</v>
      </c>
      <c r="BB36" s="8">
        <f t="shared" ref="BB36:BB63" si="25">ABS((BA36-AZ36)/BA36)</f>
        <v>0.31399367186162019</v>
      </c>
      <c r="BD36" s="11">
        <v>1</v>
      </c>
      <c r="BE36" s="11">
        <v>252.632553</v>
      </c>
      <c r="BF36" s="11">
        <v>115.45</v>
      </c>
      <c r="BG36" s="10">
        <f t="shared" ref="BG36:BG63" si="26">ABS((BF36-BE36)/BF36)</f>
        <v>1.1882421221307924</v>
      </c>
      <c r="BI36" s="13">
        <f t="shared" si="12"/>
        <v>43909</v>
      </c>
      <c r="BJ36" s="12">
        <f t="shared" si="13"/>
        <v>0.17615414288830453</v>
      </c>
      <c r="BK36" s="11">
        <f t="shared" si="14"/>
        <v>0</v>
      </c>
      <c r="BL36" s="11">
        <v>1</v>
      </c>
    </row>
    <row r="37" spans="1:64" x14ac:dyDescent="0.25">
      <c r="A37" s="11">
        <v>2</v>
      </c>
      <c r="B37" s="11">
        <v>212.48045300000001</v>
      </c>
      <c r="C37" s="11">
        <v>218.93</v>
      </c>
      <c r="D37" s="8">
        <f t="shared" si="15"/>
        <v>2.9459402548759856E-2</v>
      </c>
      <c r="F37" s="11">
        <v>2</v>
      </c>
      <c r="G37" s="11">
        <v>235.11514299999999</v>
      </c>
      <c r="H37" s="11">
        <v>219.16</v>
      </c>
      <c r="I37" s="8">
        <f t="shared" si="16"/>
        <v>7.2801346048548973E-2</v>
      </c>
      <c r="K37" s="11">
        <v>2</v>
      </c>
      <c r="L37" s="11">
        <v>245.169464</v>
      </c>
      <c r="M37" s="11">
        <v>141.15</v>
      </c>
      <c r="N37" s="10">
        <f t="shared" si="17"/>
        <v>0.73694271342543394</v>
      </c>
      <c r="P37" s="11">
        <v>2</v>
      </c>
      <c r="Q37" s="11">
        <v>208.70060699999999</v>
      </c>
      <c r="R37" s="11">
        <v>47.05</v>
      </c>
      <c r="S37" s="10">
        <f t="shared" si="18"/>
        <v>3.4357195961742826</v>
      </c>
      <c r="U37" s="11">
        <v>2</v>
      </c>
      <c r="V37" s="11">
        <v>206.20748900000001</v>
      </c>
      <c r="W37" s="11">
        <v>30.06</v>
      </c>
      <c r="X37" s="10">
        <f t="shared" si="19"/>
        <v>5.8598632401862947</v>
      </c>
      <c r="Z37" s="11">
        <v>2</v>
      </c>
      <c r="AA37" s="11">
        <v>230.075378</v>
      </c>
      <c r="AB37" s="11">
        <v>135.69</v>
      </c>
      <c r="AC37" s="10">
        <f t="shared" si="20"/>
        <v>0.69559568133244898</v>
      </c>
      <c r="AE37" s="11">
        <v>2</v>
      </c>
      <c r="AF37" s="11">
        <v>235.68319700000001</v>
      </c>
      <c r="AG37" s="11">
        <v>251.27</v>
      </c>
      <c r="AH37" s="8">
        <f t="shared" si="21"/>
        <v>6.203208898794127E-2</v>
      </c>
      <c r="AJ37" s="11">
        <v>2</v>
      </c>
      <c r="AK37" s="11">
        <v>242.57316599999999</v>
      </c>
      <c r="AL37" s="11">
        <v>261.02999999999997</v>
      </c>
      <c r="AM37" s="8">
        <f t="shared" si="22"/>
        <v>7.070771175726924E-2</v>
      </c>
      <c r="AO37" s="11">
        <v>2</v>
      </c>
      <c r="AP37" s="11">
        <v>234.37882999999999</v>
      </c>
      <c r="AQ37" s="11">
        <v>191.38</v>
      </c>
      <c r="AR37" s="8">
        <f t="shared" si="23"/>
        <v>0.22467776152158009</v>
      </c>
      <c r="AT37" s="11">
        <v>2</v>
      </c>
      <c r="AU37" s="11">
        <v>241.98005699999999</v>
      </c>
      <c r="AV37" s="11">
        <v>266.41000000000003</v>
      </c>
      <c r="AW37" s="8">
        <f t="shared" si="24"/>
        <v>9.1700548027476583E-2</v>
      </c>
      <c r="AY37" s="11">
        <v>2</v>
      </c>
      <c r="AZ37" s="11">
        <v>252.857834</v>
      </c>
      <c r="BA37" s="11">
        <v>120.71</v>
      </c>
      <c r="BB37" s="10">
        <f t="shared" si="25"/>
        <v>1.0947546516444371</v>
      </c>
      <c r="BD37" s="11">
        <v>2</v>
      </c>
      <c r="BE37" s="11">
        <v>211.40081799999999</v>
      </c>
      <c r="BF37" s="11">
        <v>157.38999999999999</v>
      </c>
      <c r="BG37" s="8">
        <f t="shared" si="26"/>
        <v>0.34316549971408605</v>
      </c>
      <c r="BI37" s="13">
        <f t="shared" si="12"/>
        <v>43910</v>
      </c>
      <c r="BJ37" s="12">
        <f t="shared" si="13"/>
        <v>0.1085112310097171</v>
      </c>
      <c r="BK37" s="11">
        <f t="shared" si="14"/>
        <v>0</v>
      </c>
      <c r="BL37" s="11">
        <v>1</v>
      </c>
    </row>
    <row r="38" spans="1:64" x14ac:dyDescent="0.25">
      <c r="A38" s="11">
        <v>3</v>
      </c>
      <c r="B38" s="11">
        <v>182.84506200000001</v>
      </c>
      <c r="C38" s="11">
        <v>379.71</v>
      </c>
      <c r="D38" s="10">
        <f t="shared" si="15"/>
        <v>0.5184612941455321</v>
      </c>
      <c r="F38" s="11">
        <v>3</v>
      </c>
      <c r="G38" s="11">
        <v>160.48533599999999</v>
      </c>
      <c r="H38" s="11">
        <v>414.93</v>
      </c>
      <c r="I38" s="10">
        <f t="shared" si="16"/>
        <v>0.61322310751211051</v>
      </c>
      <c r="K38" s="11">
        <v>3</v>
      </c>
      <c r="L38" s="11">
        <v>162.94686899999999</v>
      </c>
      <c r="M38" s="11">
        <v>449.58</v>
      </c>
      <c r="N38" s="10">
        <f t="shared" si="17"/>
        <v>0.6375575670625917</v>
      </c>
      <c r="P38" s="11">
        <v>3</v>
      </c>
      <c r="Q38" s="11">
        <v>259.52871699999997</v>
      </c>
      <c r="R38" s="11">
        <v>460.67</v>
      </c>
      <c r="S38" s="8">
        <f t="shared" si="18"/>
        <v>0.43662770095730141</v>
      </c>
      <c r="U38" s="11">
        <v>3</v>
      </c>
      <c r="V38" s="11">
        <v>293.11837800000001</v>
      </c>
      <c r="W38" s="11">
        <v>491.71</v>
      </c>
      <c r="X38" s="8">
        <f t="shared" si="19"/>
        <v>0.40387956722458357</v>
      </c>
      <c r="Z38" s="11">
        <v>3</v>
      </c>
      <c r="AA38" s="11">
        <v>289.65261800000002</v>
      </c>
      <c r="AB38" s="11">
        <v>337.83</v>
      </c>
      <c r="AC38" s="8">
        <f t="shared" si="20"/>
        <v>0.14260835923393414</v>
      </c>
      <c r="AE38" s="11">
        <v>3</v>
      </c>
      <c r="AF38" s="11">
        <v>299.155823</v>
      </c>
      <c r="AG38" s="11">
        <v>333.55</v>
      </c>
      <c r="AH38" s="8">
        <f t="shared" si="21"/>
        <v>0.10311550592115129</v>
      </c>
      <c r="AJ38" s="11">
        <v>3</v>
      </c>
      <c r="AK38" s="11">
        <v>331.42538500000001</v>
      </c>
      <c r="AL38" s="11">
        <v>399.52</v>
      </c>
      <c r="AM38" s="8">
        <f t="shared" si="22"/>
        <v>0.17044106678013612</v>
      </c>
      <c r="AO38" s="11">
        <v>3</v>
      </c>
      <c r="AP38" s="11">
        <v>346.59314000000001</v>
      </c>
      <c r="AQ38" s="11">
        <v>397.34</v>
      </c>
      <c r="AR38" s="8">
        <f t="shared" si="23"/>
        <v>0.12771646448885079</v>
      </c>
      <c r="AT38" s="11">
        <v>3</v>
      </c>
      <c r="AU38" s="11">
        <v>320.58230600000002</v>
      </c>
      <c r="AV38" s="11">
        <v>346.85</v>
      </c>
      <c r="AW38" s="8">
        <f t="shared" si="24"/>
        <v>7.5732143577915537E-2</v>
      </c>
      <c r="AY38" s="11">
        <v>3</v>
      </c>
      <c r="AZ38" s="11">
        <v>331.20645100000002</v>
      </c>
      <c r="BA38" s="11">
        <v>341.09</v>
      </c>
      <c r="BB38" s="8">
        <f t="shared" si="25"/>
        <v>2.897636694127638E-2</v>
      </c>
      <c r="BD38" s="11">
        <v>3</v>
      </c>
      <c r="BE38" s="11">
        <v>298.20404100000002</v>
      </c>
      <c r="BF38" s="11">
        <v>336.88</v>
      </c>
      <c r="BG38" s="8">
        <f t="shared" si="26"/>
        <v>0.11480633756827351</v>
      </c>
      <c r="BI38" s="13">
        <f t="shared" si="12"/>
        <v>43911</v>
      </c>
      <c r="BJ38" s="12">
        <f t="shared" si="13"/>
        <v>0.14150450473334419</v>
      </c>
      <c r="BK38" s="11">
        <f t="shared" si="14"/>
        <v>0</v>
      </c>
      <c r="BL38" s="11">
        <v>1</v>
      </c>
    </row>
    <row r="39" spans="1:64" x14ac:dyDescent="0.25">
      <c r="A39" s="11">
        <v>4</v>
      </c>
      <c r="B39" s="11">
        <v>308.60201999999998</v>
      </c>
      <c r="C39" s="11">
        <v>361.9</v>
      </c>
      <c r="D39" s="8">
        <f t="shared" si="15"/>
        <v>0.14727267200884223</v>
      </c>
      <c r="F39" s="11">
        <v>4</v>
      </c>
      <c r="G39" s="11">
        <v>310.13940400000001</v>
      </c>
      <c r="H39" s="11">
        <v>367.38</v>
      </c>
      <c r="I39" s="8">
        <f t="shared" si="16"/>
        <v>0.15580759976046596</v>
      </c>
      <c r="K39" s="11">
        <v>4</v>
      </c>
      <c r="L39" s="11">
        <v>309.09985399999999</v>
      </c>
      <c r="M39" s="11">
        <v>345.85</v>
      </c>
      <c r="N39" s="8">
        <f t="shared" si="17"/>
        <v>0.10626036142836498</v>
      </c>
      <c r="P39" s="11">
        <v>4</v>
      </c>
      <c r="Q39" s="11">
        <v>351.83804300000003</v>
      </c>
      <c r="R39" s="11">
        <v>332.1</v>
      </c>
      <c r="S39" s="8">
        <f t="shared" si="18"/>
        <v>5.943403492923819E-2</v>
      </c>
      <c r="U39" s="11">
        <v>4</v>
      </c>
      <c r="V39" s="11">
        <v>357.14892600000002</v>
      </c>
      <c r="W39" s="11">
        <v>336.78</v>
      </c>
      <c r="X39" s="8">
        <f t="shared" si="19"/>
        <v>6.0481400320684262E-2</v>
      </c>
      <c r="Z39" s="11">
        <v>4</v>
      </c>
      <c r="AA39" s="11">
        <v>350.60681199999999</v>
      </c>
      <c r="AB39" s="11">
        <v>321.08999999999997</v>
      </c>
      <c r="AC39" s="8">
        <f t="shared" si="20"/>
        <v>9.1926911457846761E-2</v>
      </c>
      <c r="AE39" s="11">
        <v>4</v>
      </c>
      <c r="AF39" s="11">
        <v>347.91351300000002</v>
      </c>
      <c r="AG39" s="11">
        <v>341.49</v>
      </c>
      <c r="AH39" s="8">
        <f t="shared" si="21"/>
        <v>1.8810252130369891E-2</v>
      </c>
      <c r="AJ39" s="11">
        <v>4</v>
      </c>
      <c r="AK39" s="11">
        <v>381.73172</v>
      </c>
      <c r="AL39" s="11">
        <v>360.98</v>
      </c>
      <c r="AM39" s="8">
        <f t="shared" si="22"/>
        <v>5.7487173804642848E-2</v>
      </c>
      <c r="AO39" s="11">
        <v>4</v>
      </c>
      <c r="AP39" s="11">
        <v>382.09387199999998</v>
      </c>
      <c r="AQ39" s="11">
        <v>389.11</v>
      </c>
      <c r="AR39" s="8">
        <f t="shared" si="23"/>
        <v>1.803121996350656E-2</v>
      </c>
      <c r="AT39" s="11">
        <v>4</v>
      </c>
      <c r="AU39" s="11">
        <v>354.08886699999999</v>
      </c>
      <c r="AV39" s="11">
        <v>355.49</v>
      </c>
      <c r="AW39" s="8">
        <f t="shared" si="24"/>
        <v>3.9414132605699618E-3</v>
      </c>
      <c r="AY39" s="11">
        <v>4</v>
      </c>
      <c r="AZ39" s="11">
        <v>344.183289</v>
      </c>
      <c r="BA39" s="11">
        <v>371.23</v>
      </c>
      <c r="BB39" s="8">
        <f t="shared" si="25"/>
        <v>7.2857018559922465E-2</v>
      </c>
      <c r="BD39" s="11">
        <v>4</v>
      </c>
      <c r="BE39" s="11">
        <v>325.01675399999999</v>
      </c>
      <c r="BF39" s="11">
        <v>486.57</v>
      </c>
      <c r="BG39" s="8">
        <f t="shared" si="26"/>
        <v>0.33202467476416547</v>
      </c>
      <c r="BI39" s="13">
        <f t="shared" si="12"/>
        <v>43912</v>
      </c>
      <c r="BJ39" s="12">
        <f t="shared" si="13"/>
        <v>0.17061046660300247</v>
      </c>
      <c r="BK39" s="11">
        <f t="shared" si="14"/>
        <v>0</v>
      </c>
      <c r="BL39" s="11">
        <v>1</v>
      </c>
    </row>
    <row r="40" spans="1:64" x14ac:dyDescent="0.25">
      <c r="A40" s="11">
        <v>5</v>
      </c>
      <c r="B40" s="11">
        <v>331.02441399999998</v>
      </c>
      <c r="C40" s="11">
        <v>348.58</v>
      </c>
      <c r="D40" s="8">
        <f t="shared" si="15"/>
        <v>5.0363147627517375E-2</v>
      </c>
      <c r="F40" s="11">
        <v>5</v>
      </c>
      <c r="G40" s="11">
        <v>312.23809799999998</v>
      </c>
      <c r="H40" s="11">
        <v>349.25</v>
      </c>
      <c r="I40" s="8">
        <f t="shared" si="16"/>
        <v>0.10597538153185403</v>
      </c>
      <c r="K40" s="11">
        <v>5</v>
      </c>
      <c r="L40" s="11">
        <v>311.58111600000001</v>
      </c>
      <c r="M40" s="11">
        <v>362.29</v>
      </c>
      <c r="N40" s="8">
        <f t="shared" si="17"/>
        <v>0.13996766126583679</v>
      </c>
      <c r="P40" s="11">
        <v>5</v>
      </c>
      <c r="Q40" s="11">
        <v>348.31286599999999</v>
      </c>
      <c r="R40" s="11">
        <v>361.96</v>
      </c>
      <c r="S40" s="8">
        <f t="shared" si="18"/>
        <v>3.7703431318377709E-2</v>
      </c>
      <c r="U40" s="11">
        <v>5</v>
      </c>
      <c r="V40" s="11">
        <v>356.531677</v>
      </c>
      <c r="W40" s="11">
        <v>408.34</v>
      </c>
      <c r="X40" s="8">
        <f t="shared" si="19"/>
        <v>0.12687545427829744</v>
      </c>
      <c r="Z40" s="11">
        <v>5</v>
      </c>
      <c r="AA40" s="11">
        <v>347.96783399999998</v>
      </c>
      <c r="AB40" s="11">
        <v>350.67</v>
      </c>
      <c r="AC40" s="8">
        <f t="shared" si="20"/>
        <v>7.7057233296262406E-3</v>
      </c>
      <c r="AE40" s="11">
        <v>5</v>
      </c>
      <c r="AF40" s="11">
        <v>353.335938</v>
      </c>
      <c r="AG40" s="11">
        <v>393.37</v>
      </c>
      <c r="AH40" s="8">
        <f t="shared" si="21"/>
        <v>0.10177202633652796</v>
      </c>
      <c r="AJ40" s="11">
        <v>5</v>
      </c>
      <c r="AK40" s="11">
        <v>392.48776199999998</v>
      </c>
      <c r="AL40" s="11">
        <v>401.61</v>
      </c>
      <c r="AM40" s="8">
        <f t="shared" si="22"/>
        <v>2.2714170463882966E-2</v>
      </c>
      <c r="AO40" s="11">
        <v>5</v>
      </c>
      <c r="AP40" s="11">
        <v>375.70446800000002</v>
      </c>
      <c r="AQ40" s="11">
        <v>349.35</v>
      </c>
      <c r="AR40" s="8">
        <f t="shared" si="23"/>
        <v>7.5438580220409321E-2</v>
      </c>
      <c r="AT40" s="11">
        <v>5</v>
      </c>
      <c r="AU40" s="11">
        <v>355.57037400000002</v>
      </c>
      <c r="AV40" s="11">
        <v>323.19</v>
      </c>
      <c r="AW40" s="8">
        <f t="shared" si="24"/>
        <v>0.10018990067762003</v>
      </c>
      <c r="AY40" s="11">
        <v>5</v>
      </c>
      <c r="AZ40" s="11">
        <v>338.20474200000001</v>
      </c>
      <c r="BA40" s="11">
        <v>318.94</v>
      </c>
      <c r="BB40" s="8">
        <f t="shared" si="25"/>
        <v>6.0402401705650005E-2</v>
      </c>
      <c r="BD40" s="11">
        <v>5</v>
      </c>
      <c r="BE40" s="11">
        <v>321.44223</v>
      </c>
      <c r="BF40" s="11">
        <v>309.39999999999998</v>
      </c>
      <c r="BG40" s="8">
        <f t="shared" si="26"/>
        <v>3.8921234647705298E-2</v>
      </c>
      <c r="BI40" s="13">
        <f t="shared" si="12"/>
        <v>43913</v>
      </c>
      <c r="BJ40" s="12">
        <f t="shared" si="13"/>
        <v>0.15951068227518833</v>
      </c>
      <c r="BK40" s="11">
        <f t="shared" si="14"/>
        <v>0</v>
      </c>
      <c r="BL40" s="11">
        <v>1</v>
      </c>
    </row>
    <row r="41" spans="1:64" x14ac:dyDescent="0.25">
      <c r="A41" s="11">
        <v>6</v>
      </c>
      <c r="B41" s="11">
        <v>299.11090100000001</v>
      </c>
      <c r="C41" s="11">
        <v>298.55</v>
      </c>
      <c r="D41" s="8">
        <f t="shared" si="15"/>
        <v>1.878750628035509E-3</v>
      </c>
      <c r="F41" s="11">
        <v>6</v>
      </c>
      <c r="G41" s="11">
        <v>306.61184700000001</v>
      </c>
      <c r="H41" s="11">
        <v>298.89</v>
      </c>
      <c r="I41" s="8">
        <f t="shared" si="16"/>
        <v>2.5835079795242483E-2</v>
      </c>
      <c r="K41" s="11">
        <v>6</v>
      </c>
      <c r="L41" s="11">
        <v>305.36215199999998</v>
      </c>
      <c r="M41" s="11">
        <v>289.91000000000003</v>
      </c>
      <c r="N41" s="8">
        <f t="shared" si="17"/>
        <v>5.3299824083336049E-2</v>
      </c>
      <c r="P41" s="11">
        <v>6</v>
      </c>
      <c r="Q41" s="11">
        <v>310.69964599999997</v>
      </c>
      <c r="R41" s="11">
        <v>300.16000000000003</v>
      </c>
      <c r="S41" s="8">
        <f t="shared" si="18"/>
        <v>3.5113426172707712E-2</v>
      </c>
      <c r="U41" s="11">
        <v>6</v>
      </c>
      <c r="V41" s="11">
        <v>315.99221799999998</v>
      </c>
      <c r="W41" s="11">
        <v>317.97000000000003</v>
      </c>
      <c r="X41" s="8">
        <f t="shared" si="19"/>
        <v>6.2200270465768695E-3</v>
      </c>
      <c r="Z41" s="11">
        <v>6</v>
      </c>
      <c r="AA41" s="11">
        <v>322.50531000000001</v>
      </c>
      <c r="AB41" s="11">
        <v>331.55</v>
      </c>
      <c r="AC41" s="8">
        <f t="shared" si="20"/>
        <v>2.7280018096817984E-2</v>
      </c>
      <c r="AE41" s="11">
        <v>6</v>
      </c>
      <c r="AF41" s="11">
        <v>331.01516700000002</v>
      </c>
      <c r="AG41" s="11">
        <v>368.23</v>
      </c>
      <c r="AH41" s="8">
        <f t="shared" si="21"/>
        <v>0.10106409852537815</v>
      </c>
      <c r="AJ41" s="11">
        <v>6</v>
      </c>
      <c r="AK41" s="11">
        <v>368.38604700000002</v>
      </c>
      <c r="AL41" s="11">
        <v>362.01</v>
      </c>
      <c r="AM41" s="8">
        <f t="shared" si="22"/>
        <v>1.7612902958481887E-2</v>
      </c>
      <c r="AO41" s="11">
        <v>6</v>
      </c>
      <c r="AP41" s="11">
        <v>359.188354</v>
      </c>
      <c r="AQ41" s="11">
        <v>363.12</v>
      </c>
      <c r="AR41" s="8">
        <f t="shared" si="23"/>
        <v>1.0827401410002204E-2</v>
      </c>
      <c r="AT41" s="11">
        <v>6</v>
      </c>
      <c r="AU41" s="11">
        <v>343.25149499999998</v>
      </c>
      <c r="AV41" s="11">
        <v>358.57</v>
      </c>
      <c r="AW41" s="8">
        <f t="shared" si="24"/>
        <v>4.2721100482472088E-2</v>
      </c>
      <c r="AY41" s="11">
        <v>6</v>
      </c>
      <c r="AZ41" s="11">
        <v>324.07876599999997</v>
      </c>
      <c r="BA41" s="11">
        <v>356.81</v>
      </c>
      <c r="BB41" s="8">
        <f t="shared" si="25"/>
        <v>9.1732950309688713E-2</v>
      </c>
      <c r="BD41" s="11">
        <v>6</v>
      </c>
      <c r="BE41" s="11">
        <v>309.67294299999998</v>
      </c>
      <c r="BF41" s="11">
        <v>326.45</v>
      </c>
      <c r="BG41" s="8">
        <f t="shared" si="26"/>
        <v>5.1392424567315097E-2</v>
      </c>
      <c r="BI41" s="13">
        <f t="shared" si="12"/>
        <v>43914</v>
      </c>
      <c r="BJ41" s="12">
        <f t="shared" si="13"/>
        <v>0.19136145057380469</v>
      </c>
      <c r="BK41" s="11">
        <f t="shared" si="14"/>
        <v>0</v>
      </c>
      <c r="BL41" s="11">
        <v>1</v>
      </c>
    </row>
    <row r="42" spans="1:64" x14ac:dyDescent="0.25">
      <c r="A42" s="11">
        <v>7</v>
      </c>
      <c r="B42" s="11">
        <v>295.932098</v>
      </c>
      <c r="C42" s="11">
        <v>150.24</v>
      </c>
      <c r="D42" s="8">
        <f t="shared" si="15"/>
        <v>0.96972908679446201</v>
      </c>
      <c r="F42" s="11">
        <v>7</v>
      </c>
      <c r="G42" s="11">
        <v>303.511505</v>
      </c>
      <c r="H42" s="11">
        <v>230.11</v>
      </c>
      <c r="I42" s="8">
        <f t="shared" si="16"/>
        <v>0.31898442049454601</v>
      </c>
      <c r="K42" s="11">
        <v>7</v>
      </c>
      <c r="L42" s="11">
        <v>305.15817299999998</v>
      </c>
      <c r="M42" s="11">
        <v>230.53</v>
      </c>
      <c r="N42" s="8">
        <f t="shared" si="17"/>
        <v>0.3237243439031795</v>
      </c>
      <c r="P42" s="11">
        <v>7</v>
      </c>
      <c r="Q42" s="11">
        <v>303.11953699999998</v>
      </c>
      <c r="R42" s="11">
        <v>229.42</v>
      </c>
      <c r="S42" s="8">
        <f t="shared" si="18"/>
        <v>0.3212428602562985</v>
      </c>
      <c r="U42" s="11">
        <v>7</v>
      </c>
      <c r="V42" s="11">
        <v>311.97131300000001</v>
      </c>
      <c r="W42" s="11">
        <v>215.98</v>
      </c>
      <c r="X42" s="8">
        <f t="shared" si="19"/>
        <v>0.44444537920177807</v>
      </c>
      <c r="Z42" s="11">
        <v>7</v>
      </c>
      <c r="AA42" s="11">
        <v>322.96362299999998</v>
      </c>
      <c r="AB42" s="11">
        <v>216.83</v>
      </c>
      <c r="AC42" s="8">
        <f t="shared" si="20"/>
        <v>0.48947849928515413</v>
      </c>
      <c r="AE42" s="11">
        <v>7</v>
      </c>
      <c r="AF42" s="11">
        <v>331.05712899999997</v>
      </c>
      <c r="AG42" s="11">
        <v>35.24</v>
      </c>
      <c r="AH42" s="10">
        <f t="shared" si="21"/>
        <v>8.394356668558455</v>
      </c>
      <c r="AJ42" s="11">
        <v>7</v>
      </c>
      <c r="AK42" s="11">
        <v>341.948578</v>
      </c>
      <c r="AL42" s="11">
        <v>39</v>
      </c>
      <c r="AM42" s="10">
        <f t="shared" si="22"/>
        <v>7.7679122564102565</v>
      </c>
      <c r="AO42" s="11">
        <v>7</v>
      </c>
      <c r="AP42" s="11">
        <v>321.17047100000002</v>
      </c>
      <c r="AQ42" s="11">
        <v>79.38</v>
      </c>
      <c r="AR42" s="10">
        <f t="shared" si="23"/>
        <v>3.0459872889896706</v>
      </c>
      <c r="AT42" s="11">
        <v>7</v>
      </c>
      <c r="AU42" s="11">
        <v>319.00564600000001</v>
      </c>
      <c r="AV42" s="11">
        <v>95.64</v>
      </c>
      <c r="AW42" s="10">
        <f t="shared" si="24"/>
        <v>2.3354835424508575</v>
      </c>
      <c r="AY42" s="11">
        <v>7</v>
      </c>
      <c r="AZ42" s="11">
        <v>316.40188599999999</v>
      </c>
      <c r="BA42" s="11">
        <v>213.54</v>
      </c>
      <c r="BB42" s="10">
        <f t="shared" si="25"/>
        <v>0.48169844525615813</v>
      </c>
      <c r="BD42" s="11">
        <v>7</v>
      </c>
      <c r="BE42" s="11">
        <v>296.245789</v>
      </c>
      <c r="BF42" s="11">
        <v>280.69</v>
      </c>
      <c r="BG42" s="8">
        <f t="shared" si="26"/>
        <v>5.5419819017421372E-2</v>
      </c>
      <c r="BI42" s="13">
        <f t="shared" si="12"/>
        <v>43915</v>
      </c>
      <c r="BJ42" s="12">
        <f t="shared" si="13"/>
        <v>0.19698317639567772</v>
      </c>
      <c r="BK42" s="11">
        <f t="shared" si="14"/>
        <v>0</v>
      </c>
      <c r="BL42" s="11">
        <v>1</v>
      </c>
    </row>
    <row r="43" spans="1:64" x14ac:dyDescent="0.25">
      <c r="A43" s="11">
        <v>8</v>
      </c>
      <c r="B43" s="11">
        <v>280.01873799999998</v>
      </c>
      <c r="C43" s="11">
        <v>283.97000000000003</v>
      </c>
      <c r="D43" s="8">
        <f t="shared" si="15"/>
        <v>1.391436419340086E-2</v>
      </c>
      <c r="F43" s="11">
        <v>8</v>
      </c>
      <c r="G43" s="11">
        <v>286.776184</v>
      </c>
      <c r="H43" s="11">
        <v>284.11</v>
      </c>
      <c r="I43" s="8">
        <f t="shared" si="16"/>
        <v>9.3843370525500229E-3</v>
      </c>
      <c r="K43" s="11">
        <v>8</v>
      </c>
      <c r="L43" s="11">
        <v>289.67929099999998</v>
      </c>
      <c r="M43" s="11">
        <v>296.82</v>
      </c>
      <c r="N43" s="8">
        <f t="shared" si="17"/>
        <v>2.4057371470925192E-2</v>
      </c>
      <c r="P43" s="11">
        <v>8</v>
      </c>
      <c r="Q43" s="11">
        <v>264.22238199999998</v>
      </c>
      <c r="R43" s="11">
        <v>284.08999999999997</v>
      </c>
      <c r="S43" s="8">
        <f t="shared" si="18"/>
        <v>6.9934239149565258E-2</v>
      </c>
      <c r="U43" s="11">
        <v>8</v>
      </c>
      <c r="V43" s="11">
        <v>269.87625100000002</v>
      </c>
      <c r="W43" s="11">
        <v>195.24</v>
      </c>
      <c r="X43" s="8">
        <f t="shared" si="19"/>
        <v>0.38227950727309984</v>
      </c>
      <c r="Z43" s="11">
        <v>8</v>
      </c>
      <c r="AA43" s="11">
        <v>300.42849699999999</v>
      </c>
      <c r="AB43" s="11">
        <v>270.27</v>
      </c>
      <c r="AC43" s="8">
        <f t="shared" si="20"/>
        <v>0.11158655048655053</v>
      </c>
      <c r="AE43" s="11">
        <v>8</v>
      </c>
      <c r="AF43" s="11">
        <v>319.00656099999998</v>
      </c>
      <c r="AG43" s="11">
        <v>280.26</v>
      </c>
      <c r="AH43" s="8">
        <f t="shared" si="21"/>
        <v>0.13825219795903798</v>
      </c>
      <c r="AJ43" s="11">
        <v>8</v>
      </c>
      <c r="AK43" s="11">
        <v>347.09204099999999</v>
      </c>
      <c r="AL43" s="11">
        <v>305.10000000000002</v>
      </c>
      <c r="AM43" s="8">
        <f t="shared" si="22"/>
        <v>0.13763369714847581</v>
      </c>
      <c r="AO43" s="11">
        <v>8</v>
      </c>
      <c r="AP43" s="11">
        <v>344.49173000000002</v>
      </c>
      <c r="AQ43" s="11">
        <v>327.29000000000002</v>
      </c>
      <c r="AR43" s="8">
        <f t="shared" si="23"/>
        <v>5.2558067768645536E-2</v>
      </c>
      <c r="AT43" s="11">
        <v>8</v>
      </c>
      <c r="AU43" s="11">
        <v>338.06997699999999</v>
      </c>
      <c r="AV43" s="11">
        <v>321</v>
      </c>
      <c r="AW43" s="8">
        <f t="shared" si="24"/>
        <v>5.3177498442367584E-2</v>
      </c>
      <c r="AY43" s="11">
        <v>8</v>
      </c>
      <c r="AZ43" s="11">
        <v>316.81710800000002</v>
      </c>
      <c r="BA43" s="11">
        <v>319.08999999999997</v>
      </c>
      <c r="BB43" s="8">
        <f t="shared" si="25"/>
        <v>7.1230436553948928E-3</v>
      </c>
      <c r="BD43" s="11">
        <v>8</v>
      </c>
      <c r="BE43" s="11">
        <v>259.50006100000002</v>
      </c>
      <c r="BF43" s="11">
        <v>293.07</v>
      </c>
      <c r="BG43" s="8">
        <f t="shared" si="26"/>
        <v>0.11454580475654273</v>
      </c>
      <c r="BI43" s="13">
        <f>BI44-1</f>
        <v>43916</v>
      </c>
      <c r="BJ43" s="12">
        <f t="shared" si="13"/>
        <v>2.0743962841398542E-2</v>
      </c>
      <c r="BK43" s="11">
        <f t="shared" si="14"/>
        <v>1</v>
      </c>
      <c r="BL43" s="11">
        <v>1</v>
      </c>
    </row>
    <row r="44" spans="1:64" x14ac:dyDescent="0.25">
      <c r="A44" s="11">
        <v>9</v>
      </c>
      <c r="B44" s="11">
        <v>211.53431699999999</v>
      </c>
      <c r="C44" s="11">
        <v>286.79000000000002</v>
      </c>
      <c r="D44" s="8">
        <f t="shared" si="15"/>
        <v>0.26240692841451946</v>
      </c>
      <c r="F44" s="11">
        <v>9</v>
      </c>
      <c r="G44" s="11">
        <v>238.20477299999999</v>
      </c>
      <c r="H44" s="11">
        <v>287.47000000000003</v>
      </c>
      <c r="I44" s="8">
        <f t="shared" si="16"/>
        <v>0.1713751939332801</v>
      </c>
      <c r="K44" s="11">
        <v>9</v>
      </c>
      <c r="L44" s="11">
        <v>254.46354700000001</v>
      </c>
      <c r="M44" s="11">
        <v>290.11</v>
      </c>
      <c r="N44" s="8">
        <f t="shared" si="17"/>
        <v>0.1228721967529558</v>
      </c>
      <c r="P44" s="11">
        <v>9</v>
      </c>
      <c r="Q44" s="11">
        <v>217.49144000000001</v>
      </c>
      <c r="R44" s="11">
        <v>288.85000000000002</v>
      </c>
      <c r="S44" s="8">
        <f t="shared" si="18"/>
        <v>0.24704365587675267</v>
      </c>
      <c r="U44" s="11">
        <v>9</v>
      </c>
      <c r="V44" s="11">
        <v>221.63157699999999</v>
      </c>
      <c r="W44" s="11">
        <v>290.3</v>
      </c>
      <c r="X44" s="8">
        <f t="shared" si="19"/>
        <v>0.23654296589734763</v>
      </c>
      <c r="Z44" s="11">
        <v>9</v>
      </c>
      <c r="AA44" s="11">
        <v>253.889938</v>
      </c>
      <c r="AB44" s="11">
        <v>244.81</v>
      </c>
      <c r="AC44" s="8">
        <f t="shared" si="20"/>
        <v>3.7089734896450302E-2</v>
      </c>
      <c r="AE44" s="11">
        <v>9</v>
      </c>
      <c r="AF44" s="11">
        <v>273.328461</v>
      </c>
      <c r="AG44" s="11">
        <v>342.22</v>
      </c>
      <c r="AH44" s="8">
        <f t="shared" si="21"/>
        <v>0.20130775232306708</v>
      </c>
      <c r="AJ44" s="11">
        <v>9</v>
      </c>
      <c r="AK44" s="11">
        <v>309.49115</v>
      </c>
      <c r="AL44" s="11">
        <v>305.77999999999997</v>
      </c>
      <c r="AM44" s="8">
        <f t="shared" si="22"/>
        <v>1.2136666884688443E-2</v>
      </c>
      <c r="AO44" s="11">
        <v>9</v>
      </c>
      <c r="AP44" s="11">
        <v>322.18691999999999</v>
      </c>
      <c r="AQ44" s="11">
        <v>344.61</v>
      </c>
      <c r="AR44" s="8">
        <f t="shared" si="23"/>
        <v>6.5067989901628001E-2</v>
      </c>
      <c r="AT44" s="11">
        <v>9</v>
      </c>
      <c r="AU44" s="11">
        <v>324.68283100000002</v>
      </c>
      <c r="AV44" s="11">
        <v>306.07</v>
      </c>
      <c r="AW44" s="8">
        <f t="shared" si="24"/>
        <v>6.0812333779854379E-2</v>
      </c>
      <c r="AY44" s="11">
        <v>9</v>
      </c>
      <c r="AZ44" s="11">
        <v>310.02578699999998</v>
      </c>
      <c r="BA44" s="11">
        <v>317.04000000000002</v>
      </c>
      <c r="BB44" s="8">
        <f t="shared" si="25"/>
        <v>2.2124063209689755E-2</v>
      </c>
      <c r="BD44" s="11">
        <v>9</v>
      </c>
      <c r="BE44" s="11">
        <v>263.135895</v>
      </c>
      <c r="BF44" s="11">
        <v>335.84</v>
      </c>
      <c r="BG44" s="8">
        <f t="shared" si="26"/>
        <v>0.21648435266793703</v>
      </c>
      <c r="BI44" s="13">
        <v>43917</v>
      </c>
      <c r="BJ44" s="12">
        <f t="shared" si="13"/>
        <v>0.14862273439737336</v>
      </c>
      <c r="BK44" s="11">
        <f t="shared" si="14"/>
        <v>0</v>
      </c>
      <c r="BL44" s="11">
        <v>1</v>
      </c>
    </row>
    <row r="45" spans="1:64" x14ac:dyDescent="0.25">
      <c r="A45" s="11">
        <v>10</v>
      </c>
      <c r="B45" s="11">
        <v>254.41287199999999</v>
      </c>
      <c r="C45" s="11">
        <v>320</v>
      </c>
      <c r="D45" s="8">
        <f t="shared" si="15"/>
        <v>0.20495977500000001</v>
      </c>
      <c r="F45" s="11">
        <v>10</v>
      </c>
      <c r="G45" s="11">
        <v>237.48561100000001</v>
      </c>
      <c r="H45" s="11">
        <v>339.3</v>
      </c>
      <c r="I45" s="8">
        <f t="shared" si="16"/>
        <v>0.30007188034188037</v>
      </c>
      <c r="K45" s="11">
        <v>10</v>
      </c>
      <c r="L45" s="11">
        <v>227.86702</v>
      </c>
      <c r="M45" s="11">
        <v>325.26</v>
      </c>
      <c r="N45" s="8">
        <f t="shared" si="17"/>
        <v>0.29943116276209802</v>
      </c>
      <c r="P45" s="11">
        <v>10</v>
      </c>
      <c r="Q45" s="11">
        <v>287.073151</v>
      </c>
      <c r="R45" s="11">
        <v>347.25</v>
      </c>
      <c r="S45" s="8">
        <f t="shared" si="18"/>
        <v>0.17329546148308136</v>
      </c>
      <c r="U45" s="11">
        <v>10</v>
      </c>
      <c r="V45" s="11">
        <v>292.47326700000002</v>
      </c>
      <c r="W45" s="11">
        <v>325.83999999999997</v>
      </c>
      <c r="X45" s="8">
        <f t="shared" si="19"/>
        <v>0.10240220046648649</v>
      </c>
      <c r="Z45" s="11">
        <v>10</v>
      </c>
      <c r="AA45" s="11">
        <v>295.92950400000001</v>
      </c>
      <c r="AB45" s="11">
        <v>354.69</v>
      </c>
      <c r="AC45" s="8">
        <f t="shared" si="20"/>
        <v>0.16566719106825675</v>
      </c>
      <c r="AE45" s="11">
        <v>10</v>
      </c>
      <c r="AF45" s="11">
        <v>296.93737800000002</v>
      </c>
      <c r="AG45" s="11">
        <v>359.29</v>
      </c>
      <c r="AH45" s="8">
        <f t="shared" si="21"/>
        <v>0.17354399510145005</v>
      </c>
      <c r="AJ45" s="11">
        <v>10</v>
      </c>
      <c r="AK45" s="11">
        <v>311.27133199999997</v>
      </c>
      <c r="AL45" s="11">
        <v>364.39</v>
      </c>
      <c r="AM45" s="8">
        <f t="shared" si="22"/>
        <v>0.14577421992919679</v>
      </c>
      <c r="AO45" s="11">
        <v>10</v>
      </c>
      <c r="AP45" s="11">
        <v>321.62289399999997</v>
      </c>
      <c r="AQ45" s="11">
        <v>460.9</v>
      </c>
      <c r="AR45" s="8">
        <f t="shared" si="23"/>
        <v>0.30218508570188762</v>
      </c>
      <c r="AT45" s="11">
        <v>10</v>
      </c>
      <c r="AU45" s="11">
        <v>298.37487800000002</v>
      </c>
      <c r="AV45" s="11">
        <v>393.83</v>
      </c>
      <c r="AW45" s="8">
        <f t="shared" si="24"/>
        <v>0.24237646192519605</v>
      </c>
      <c r="AY45" s="11">
        <v>10</v>
      </c>
      <c r="AZ45" s="11">
        <v>308.45135499999998</v>
      </c>
      <c r="BA45" s="11">
        <v>379.1</v>
      </c>
      <c r="BB45" s="8">
        <f t="shared" si="25"/>
        <v>0.18635886309680832</v>
      </c>
      <c r="BD45" s="11">
        <v>10</v>
      </c>
      <c r="BE45" s="11">
        <v>286.36596700000001</v>
      </c>
      <c r="BF45" s="11">
        <v>350.69</v>
      </c>
      <c r="BG45" s="8">
        <f t="shared" si="26"/>
        <v>0.18342134933987278</v>
      </c>
      <c r="BJ45" s="15">
        <f>AVERAGE(BJ16:BJ44)</f>
        <v>0.24008865205469648</v>
      </c>
    </row>
    <row r="46" spans="1:64" x14ac:dyDescent="0.25">
      <c r="A46" s="11">
        <v>11</v>
      </c>
      <c r="B46" s="11">
        <v>294.571167</v>
      </c>
      <c r="C46" s="11">
        <v>446.15</v>
      </c>
      <c r="D46" s="8">
        <f t="shared" si="15"/>
        <v>0.33974858903956062</v>
      </c>
      <c r="F46" s="11">
        <v>11</v>
      </c>
      <c r="G46" s="11">
        <v>288.22692899999998</v>
      </c>
      <c r="H46" s="11">
        <v>360.35</v>
      </c>
      <c r="I46" s="8">
        <f t="shared" si="16"/>
        <v>0.20014727625919254</v>
      </c>
      <c r="K46" s="11">
        <v>11</v>
      </c>
      <c r="L46" s="11">
        <v>281.41436800000002</v>
      </c>
      <c r="M46" s="11">
        <v>469.46</v>
      </c>
      <c r="N46" s="10">
        <f t="shared" si="17"/>
        <v>0.40055730413666757</v>
      </c>
      <c r="P46" s="11">
        <v>11</v>
      </c>
      <c r="Q46" s="11">
        <v>323.23230000000001</v>
      </c>
      <c r="R46" s="11">
        <v>461.41</v>
      </c>
      <c r="S46" s="8">
        <f t="shared" si="18"/>
        <v>0.29946836869595372</v>
      </c>
      <c r="U46" s="11">
        <v>11</v>
      </c>
      <c r="V46" s="11">
        <v>340.95242300000001</v>
      </c>
      <c r="W46" s="11">
        <v>511.94</v>
      </c>
      <c r="X46" s="8">
        <f t="shared" si="19"/>
        <v>0.33399925186545298</v>
      </c>
      <c r="Z46" s="11">
        <v>11</v>
      </c>
      <c r="AA46" s="11">
        <v>341.91906699999998</v>
      </c>
      <c r="AB46" s="11">
        <v>463.99</v>
      </c>
      <c r="AC46" s="8">
        <f t="shared" si="20"/>
        <v>0.26308957736158112</v>
      </c>
      <c r="AE46" s="11">
        <v>11</v>
      </c>
      <c r="AF46" s="11">
        <v>340.07531699999998</v>
      </c>
      <c r="AG46" s="11">
        <v>351.69</v>
      </c>
      <c r="AH46" s="8">
        <f t="shared" si="21"/>
        <v>3.3025343342147954E-2</v>
      </c>
      <c r="AJ46" s="11">
        <v>11</v>
      </c>
      <c r="AK46" s="11">
        <v>374.75747699999999</v>
      </c>
      <c r="AL46" s="11">
        <v>353.1</v>
      </c>
      <c r="AM46" s="8">
        <f t="shared" si="22"/>
        <v>6.1335250637213172E-2</v>
      </c>
      <c r="AO46" s="11">
        <v>11</v>
      </c>
      <c r="AP46" s="11">
        <v>367.32046500000001</v>
      </c>
      <c r="AQ46" s="11">
        <v>354.06</v>
      </c>
      <c r="AR46" s="8">
        <f t="shared" si="23"/>
        <v>3.7452592780884628E-2</v>
      </c>
      <c r="AT46" s="11">
        <v>11</v>
      </c>
      <c r="AU46" s="11">
        <v>343.14041099999997</v>
      </c>
      <c r="AV46" s="11">
        <v>352.49</v>
      </c>
      <c r="AW46" s="8">
        <f t="shared" si="24"/>
        <v>2.6524409203098065E-2</v>
      </c>
      <c r="AY46" s="11">
        <v>11</v>
      </c>
      <c r="AZ46" s="11">
        <v>331.64709499999998</v>
      </c>
      <c r="BA46" s="11">
        <v>357.58</v>
      </c>
      <c r="BB46" s="8">
        <f t="shared" si="25"/>
        <v>7.2523365400749495E-2</v>
      </c>
      <c r="BD46" s="11">
        <v>11</v>
      </c>
      <c r="BE46" s="11">
        <v>315.30886800000002</v>
      </c>
      <c r="BF46" s="11">
        <v>359.65</v>
      </c>
      <c r="BG46" s="8">
        <f t="shared" si="26"/>
        <v>0.12328967607396069</v>
      </c>
    </row>
    <row r="47" spans="1:64" x14ac:dyDescent="0.25">
      <c r="A47" s="11">
        <v>12</v>
      </c>
      <c r="B47" s="11">
        <v>314.90673800000002</v>
      </c>
      <c r="C47" s="11">
        <v>387.67</v>
      </c>
      <c r="D47" s="8">
        <f t="shared" si="15"/>
        <v>0.18769381690613149</v>
      </c>
      <c r="F47" s="11">
        <v>12</v>
      </c>
      <c r="G47" s="11">
        <v>314.21328699999998</v>
      </c>
      <c r="H47" s="11">
        <v>384.71</v>
      </c>
      <c r="I47" s="8">
        <f t="shared" si="16"/>
        <v>0.18324637519170284</v>
      </c>
      <c r="K47" s="11">
        <v>12</v>
      </c>
      <c r="L47" s="11">
        <v>313.85086100000001</v>
      </c>
      <c r="M47" s="11">
        <v>382.25</v>
      </c>
      <c r="N47" s="8">
        <f t="shared" si="17"/>
        <v>0.17893823152387178</v>
      </c>
      <c r="P47" s="11">
        <v>12</v>
      </c>
      <c r="Q47" s="11">
        <v>348.47250400000001</v>
      </c>
      <c r="R47" s="11">
        <v>377.74</v>
      </c>
      <c r="S47" s="8">
        <f t="shared" si="18"/>
        <v>7.7480531582569998E-2</v>
      </c>
      <c r="U47" s="11">
        <v>12</v>
      </c>
      <c r="V47" s="11">
        <v>366.79357900000002</v>
      </c>
      <c r="W47" s="11">
        <v>461.82</v>
      </c>
      <c r="X47" s="8">
        <f t="shared" si="19"/>
        <v>0.20576506214542456</v>
      </c>
      <c r="Z47" s="11">
        <v>12</v>
      </c>
      <c r="AA47" s="11">
        <v>368.94070399999998</v>
      </c>
      <c r="AB47" s="11">
        <v>335.08</v>
      </c>
      <c r="AC47" s="8">
        <f t="shared" si="20"/>
        <v>0.10105259639489077</v>
      </c>
      <c r="AE47" s="11">
        <v>12</v>
      </c>
      <c r="AF47" s="11">
        <v>377.59387199999998</v>
      </c>
      <c r="AG47" s="11">
        <v>359.36</v>
      </c>
      <c r="AH47" s="8">
        <f t="shared" si="21"/>
        <v>5.0739848619768373E-2</v>
      </c>
      <c r="AJ47" s="11">
        <v>12</v>
      </c>
      <c r="AK47" s="11">
        <v>420.17770400000001</v>
      </c>
      <c r="AL47" s="11">
        <v>325.06</v>
      </c>
      <c r="AM47" s="8">
        <f t="shared" si="22"/>
        <v>0.29261583707623207</v>
      </c>
      <c r="AO47" s="11">
        <v>12</v>
      </c>
      <c r="AP47" s="11">
        <v>405.44155899999998</v>
      </c>
      <c r="AQ47" s="11">
        <v>337.02</v>
      </c>
      <c r="AR47" s="8">
        <f t="shared" si="23"/>
        <v>0.20301928372203432</v>
      </c>
      <c r="AT47" s="11">
        <v>12</v>
      </c>
      <c r="AU47" s="11">
        <v>394.09960899999999</v>
      </c>
      <c r="AV47" s="11">
        <v>328.25</v>
      </c>
      <c r="AW47" s="8">
        <f t="shared" si="24"/>
        <v>0.20060810053313019</v>
      </c>
      <c r="AY47" s="11">
        <v>12</v>
      </c>
      <c r="AZ47" s="11">
        <v>371.93472300000002</v>
      </c>
      <c r="BA47" s="11">
        <v>321.99</v>
      </c>
      <c r="BB47" s="8">
        <f t="shared" si="25"/>
        <v>0.15511265256684992</v>
      </c>
      <c r="BD47" s="11">
        <v>12</v>
      </c>
      <c r="BE47" s="11">
        <v>357.77557400000001</v>
      </c>
      <c r="BF47" s="11">
        <v>315.10000000000002</v>
      </c>
      <c r="BG47" s="8">
        <f t="shared" si="26"/>
        <v>0.13543501745477621</v>
      </c>
    </row>
    <row r="48" spans="1:64" x14ac:dyDescent="0.25">
      <c r="A48" s="11">
        <v>13</v>
      </c>
      <c r="B48" s="11">
        <v>343.64135700000003</v>
      </c>
      <c r="C48" s="11">
        <v>377.52</v>
      </c>
      <c r="D48" s="8">
        <f t="shared" si="15"/>
        <v>8.973999523204057E-2</v>
      </c>
      <c r="F48" s="11">
        <v>13</v>
      </c>
      <c r="G48" s="11">
        <v>348.05053700000002</v>
      </c>
      <c r="H48" s="11">
        <v>398.81</v>
      </c>
      <c r="I48" s="8">
        <f t="shared" si="16"/>
        <v>0.12727730748978205</v>
      </c>
      <c r="K48" s="11">
        <v>13</v>
      </c>
      <c r="L48" s="11">
        <v>349.08334400000001</v>
      </c>
      <c r="M48" s="11">
        <v>407.86</v>
      </c>
      <c r="N48" s="8">
        <f t="shared" si="17"/>
        <v>0.1441098808414652</v>
      </c>
      <c r="P48" s="11">
        <v>13</v>
      </c>
      <c r="Q48" s="11">
        <v>380.50353999999999</v>
      </c>
      <c r="R48" s="11">
        <v>482.94</v>
      </c>
      <c r="S48" s="8">
        <f t="shared" si="18"/>
        <v>0.21211011719882389</v>
      </c>
      <c r="U48" s="11">
        <v>13</v>
      </c>
      <c r="V48" s="11">
        <v>387.47927900000002</v>
      </c>
      <c r="W48" s="11">
        <v>449.2</v>
      </c>
      <c r="X48" s="8">
        <f t="shared" si="19"/>
        <v>0.13740142698130003</v>
      </c>
      <c r="Z48" s="11">
        <v>13</v>
      </c>
      <c r="AA48" s="11">
        <v>401.36999500000002</v>
      </c>
      <c r="AB48" s="11">
        <v>400.82</v>
      </c>
      <c r="AC48" s="8">
        <f t="shared" si="20"/>
        <v>1.3721745421885734E-3</v>
      </c>
      <c r="AE48" s="11">
        <v>13</v>
      </c>
      <c r="AF48" s="11">
        <v>403.65564000000001</v>
      </c>
      <c r="AG48" s="11">
        <v>393.54</v>
      </c>
      <c r="AH48" s="8">
        <f t="shared" si="21"/>
        <v>2.5704223204756783E-2</v>
      </c>
      <c r="AJ48" s="11">
        <v>13</v>
      </c>
      <c r="AK48" s="11">
        <v>433.167328</v>
      </c>
      <c r="AL48" s="11">
        <v>387.39</v>
      </c>
      <c r="AM48" s="8">
        <f t="shared" si="22"/>
        <v>0.11816858463047578</v>
      </c>
      <c r="AO48" s="11">
        <v>13</v>
      </c>
      <c r="AP48" s="11">
        <v>405.42907700000001</v>
      </c>
      <c r="AQ48" s="11">
        <v>388.27</v>
      </c>
      <c r="AR48" s="8">
        <f t="shared" si="23"/>
        <v>4.4193671929327598E-2</v>
      </c>
      <c r="AT48" s="11">
        <v>13</v>
      </c>
      <c r="AU48" s="11">
        <v>388.448059</v>
      </c>
      <c r="AV48" s="11">
        <v>369.25</v>
      </c>
      <c r="AW48" s="8">
        <f t="shared" si="24"/>
        <v>5.1992035206499664E-2</v>
      </c>
      <c r="AY48" s="11">
        <v>13</v>
      </c>
      <c r="AZ48" s="11">
        <v>376.61776700000001</v>
      </c>
      <c r="BA48" s="11">
        <v>393.7</v>
      </c>
      <c r="BB48" s="8">
        <f t="shared" si="25"/>
        <v>4.3388958597917131E-2</v>
      </c>
      <c r="BD48" s="11">
        <v>13</v>
      </c>
      <c r="BE48" s="11">
        <v>365.33239700000001</v>
      </c>
      <c r="BF48" s="11">
        <v>363.06</v>
      </c>
      <c r="BG48" s="8">
        <f t="shared" si="26"/>
        <v>6.2590122844709203E-3</v>
      </c>
    </row>
    <row r="49" spans="1:59" x14ac:dyDescent="0.25">
      <c r="A49" s="11">
        <v>14</v>
      </c>
      <c r="B49" s="11">
        <v>365.39117399999998</v>
      </c>
      <c r="C49" s="11">
        <v>381.72</v>
      </c>
      <c r="D49" s="8">
        <f t="shared" si="15"/>
        <v>4.2776972650110157E-2</v>
      </c>
      <c r="F49" s="11">
        <v>14</v>
      </c>
      <c r="G49" s="11">
        <v>372.32693499999999</v>
      </c>
      <c r="H49" s="11">
        <v>401.09</v>
      </c>
      <c r="I49" s="8">
        <f t="shared" si="16"/>
        <v>7.1712246627938833E-2</v>
      </c>
      <c r="K49" s="11">
        <v>14</v>
      </c>
      <c r="L49" s="11">
        <v>375.51831099999998</v>
      </c>
      <c r="M49" s="11">
        <v>383.53</v>
      </c>
      <c r="N49" s="8">
        <f t="shared" si="17"/>
        <v>2.0889341120642429E-2</v>
      </c>
      <c r="P49" s="11">
        <v>14</v>
      </c>
      <c r="Q49" s="11">
        <v>393.08450299999998</v>
      </c>
      <c r="R49" s="11">
        <v>398.34</v>
      </c>
      <c r="S49" s="8">
        <f t="shared" si="18"/>
        <v>1.3193495506351337E-2</v>
      </c>
      <c r="U49" s="11">
        <v>14</v>
      </c>
      <c r="V49" s="11">
        <v>400.891052</v>
      </c>
      <c r="W49" s="11">
        <v>408.02</v>
      </c>
      <c r="X49" s="8">
        <f t="shared" si="19"/>
        <v>1.7472055291407235E-2</v>
      </c>
      <c r="Z49" s="11">
        <v>14</v>
      </c>
      <c r="AA49" s="11">
        <v>415.25234999999998</v>
      </c>
      <c r="AB49" s="11">
        <v>371.8</v>
      </c>
      <c r="AC49" s="8">
        <f t="shared" si="20"/>
        <v>0.11687022592791814</v>
      </c>
      <c r="AE49" s="11">
        <v>14</v>
      </c>
      <c r="AF49" s="11">
        <v>424.43084700000003</v>
      </c>
      <c r="AG49" s="11">
        <v>346.73</v>
      </c>
      <c r="AH49" s="8">
        <f t="shared" si="21"/>
        <v>0.22409611801690077</v>
      </c>
      <c r="AJ49" s="11">
        <v>14</v>
      </c>
      <c r="AK49" s="11">
        <v>455.08084100000002</v>
      </c>
      <c r="AL49" s="11">
        <v>365.79</v>
      </c>
      <c r="AM49" s="8">
        <f t="shared" si="22"/>
        <v>0.24410410618114217</v>
      </c>
      <c r="AO49" s="11">
        <v>14</v>
      </c>
      <c r="AP49" s="11">
        <v>432.717896</v>
      </c>
      <c r="AQ49" s="11">
        <v>331.62</v>
      </c>
      <c r="AR49" s="8">
        <f t="shared" si="23"/>
        <v>0.30486067185332605</v>
      </c>
      <c r="AT49" s="11">
        <v>14</v>
      </c>
      <c r="AU49" s="11">
        <v>418.91995200000002</v>
      </c>
      <c r="AV49" s="11">
        <v>361.75</v>
      </c>
      <c r="AW49" s="8">
        <f t="shared" si="24"/>
        <v>0.158037185901866</v>
      </c>
      <c r="AY49" s="11">
        <v>14</v>
      </c>
      <c r="AZ49" s="11">
        <v>399.95504799999998</v>
      </c>
      <c r="BA49" s="11">
        <v>356.36</v>
      </c>
      <c r="BB49" s="8">
        <f t="shared" si="25"/>
        <v>0.12233429116623629</v>
      </c>
      <c r="BD49" s="11">
        <v>14</v>
      </c>
      <c r="BE49" s="11">
        <v>374.106964</v>
      </c>
      <c r="BF49" s="11">
        <v>337.2</v>
      </c>
      <c r="BG49" s="8">
        <f t="shared" si="26"/>
        <v>0.10945125741399768</v>
      </c>
    </row>
    <row r="50" spans="1:59" x14ac:dyDescent="0.25">
      <c r="A50" s="11">
        <v>15</v>
      </c>
      <c r="B50" s="11">
        <v>352.03521699999999</v>
      </c>
      <c r="C50" s="11">
        <v>371.85</v>
      </c>
      <c r="D50" s="8">
        <f t="shared" si="15"/>
        <v>5.3287032405539954E-2</v>
      </c>
      <c r="F50" s="11">
        <v>15</v>
      </c>
      <c r="G50" s="11">
        <v>363.59609999999998</v>
      </c>
      <c r="H50" s="11">
        <v>382.16</v>
      </c>
      <c r="I50" s="8">
        <f t="shared" si="16"/>
        <v>4.8576250785011633E-2</v>
      </c>
      <c r="K50" s="11">
        <v>15</v>
      </c>
      <c r="L50" s="11">
        <v>370.82800300000002</v>
      </c>
      <c r="M50" s="11">
        <v>367.89</v>
      </c>
      <c r="N50" s="8">
        <f t="shared" si="17"/>
        <v>7.9860909510996152E-3</v>
      </c>
      <c r="P50" s="11">
        <v>15</v>
      </c>
      <c r="Q50" s="11">
        <v>362.08132899999998</v>
      </c>
      <c r="R50" s="11">
        <v>374.19</v>
      </c>
      <c r="S50" s="8">
        <f t="shared" si="18"/>
        <v>3.2359686255645566E-2</v>
      </c>
      <c r="U50" s="11">
        <v>15</v>
      </c>
      <c r="V50" s="11">
        <v>366.98742700000003</v>
      </c>
      <c r="W50" s="11">
        <v>349.53</v>
      </c>
      <c r="X50" s="8">
        <f t="shared" si="19"/>
        <v>4.9945432437845258E-2</v>
      </c>
      <c r="Z50" s="11">
        <v>15</v>
      </c>
      <c r="AA50" s="11">
        <v>384.18963600000001</v>
      </c>
      <c r="AB50" s="11">
        <v>347.93</v>
      </c>
      <c r="AC50" s="8">
        <f t="shared" si="20"/>
        <v>0.10421531917339695</v>
      </c>
      <c r="AE50" s="11">
        <v>15</v>
      </c>
      <c r="AF50" s="11">
        <v>396.31079099999999</v>
      </c>
      <c r="AG50" s="11">
        <v>363.05</v>
      </c>
      <c r="AH50" s="8">
        <f t="shared" si="21"/>
        <v>9.1614904283156537E-2</v>
      </c>
      <c r="AJ50" s="11">
        <v>15</v>
      </c>
      <c r="AK50" s="11">
        <v>443.12170400000002</v>
      </c>
      <c r="AL50" s="11">
        <v>362.56</v>
      </c>
      <c r="AM50" s="8">
        <f t="shared" si="22"/>
        <v>0.22220240511915273</v>
      </c>
      <c r="AO50" s="11">
        <v>15</v>
      </c>
      <c r="AP50" s="11">
        <v>422.63980099999998</v>
      </c>
      <c r="AQ50" s="11">
        <v>421.6</v>
      </c>
      <c r="AR50" s="8">
        <f t="shared" si="23"/>
        <v>2.4663211574951481E-3</v>
      </c>
      <c r="AT50" s="11">
        <v>15</v>
      </c>
      <c r="AU50" s="11">
        <v>415.80847199999999</v>
      </c>
      <c r="AV50" s="11">
        <v>401.1</v>
      </c>
      <c r="AW50" s="8">
        <f t="shared" si="24"/>
        <v>3.6670336574420273E-2</v>
      </c>
      <c r="AY50" s="11">
        <v>15</v>
      </c>
      <c r="AZ50" s="11">
        <v>380.831726</v>
      </c>
      <c r="BA50" s="11">
        <v>352.62</v>
      </c>
      <c r="BB50" s="8">
        <f t="shared" si="25"/>
        <v>8.0006029153196073E-2</v>
      </c>
      <c r="BD50" s="11">
        <v>15</v>
      </c>
      <c r="BE50" s="11">
        <v>358.54907200000002</v>
      </c>
      <c r="BF50" s="11">
        <v>329.25</v>
      </c>
      <c r="BG50" s="8">
        <f t="shared" si="26"/>
        <v>8.8987310554290128E-2</v>
      </c>
    </row>
    <row r="51" spans="1:59" x14ac:dyDescent="0.25">
      <c r="A51" s="11">
        <v>16</v>
      </c>
      <c r="B51" s="11">
        <v>267.72625699999998</v>
      </c>
      <c r="C51" s="11">
        <v>303.75</v>
      </c>
      <c r="D51" s="8">
        <f t="shared" si="15"/>
        <v>0.11859668477366263</v>
      </c>
      <c r="F51" s="11">
        <v>16</v>
      </c>
      <c r="G51" s="11">
        <v>295.79974399999998</v>
      </c>
      <c r="H51" s="11">
        <v>308.92</v>
      </c>
      <c r="I51" s="8">
        <f t="shared" si="16"/>
        <v>4.2471371228797225E-2</v>
      </c>
      <c r="K51" s="11">
        <v>16</v>
      </c>
      <c r="L51" s="11">
        <v>309.43914799999999</v>
      </c>
      <c r="M51" s="11">
        <v>312.16000000000003</v>
      </c>
      <c r="N51" s="8">
        <f t="shared" si="17"/>
        <v>8.7162096360841757E-3</v>
      </c>
      <c r="P51" s="11">
        <v>16</v>
      </c>
      <c r="Q51" s="11">
        <v>281.321777</v>
      </c>
      <c r="R51" s="11">
        <v>312.79000000000002</v>
      </c>
      <c r="S51" s="8">
        <f t="shared" si="18"/>
        <v>0.10060495220435442</v>
      </c>
      <c r="U51" s="11">
        <v>16</v>
      </c>
      <c r="V51" s="11">
        <v>288.624481</v>
      </c>
      <c r="W51" s="11">
        <v>332.7</v>
      </c>
      <c r="X51" s="8">
        <f t="shared" si="19"/>
        <v>0.13247826570483914</v>
      </c>
      <c r="Z51" s="11">
        <v>16</v>
      </c>
      <c r="AA51" s="11">
        <v>326.14666699999998</v>
      </c>
      <c r="AB51" s="11">
        <v>330.99</v>
      </c>
      <c r="AC51" s="8">
        <f t="shared" si="20"/>
        <v>1.4632868062479319E-2</v>
      </c>
      <c r="AE51" s="11">
        <v>16</v>
      </c>
      <c r="AF51" s="11">
        <v>330.16744999999997</v>
      </c>
      <c r="AG51" s="11">
        <v>360.43</v>
      </c>
      <c r="AH51" s="8">
        <f t="shared" si="21"/>
        <v>8.3962350525760981E-2</v>
      </c>
      <c r="AJ51" s="11">
        <v>16</v>
      </c>
      <c r="AK51" s="11">
        <v>372.51525900000001</v>
      </c>
      <c r="AL51" s="11">
        <v>607.41999999999996</v>
      </c>
      <c r="AM51" s="8">
        <f t="shared" si="22"/>
        <v>0.38672539758322078</v>
      </c>
      <c r="AO51" s="11">
        <v>16</v>
      </c>
      <c r="AP51" s="11">
        <v>359.04336499999999</v>
      </c>
      <c r="AQ51" s="11">
        <v>546.37</v>
      </c>
      <c r="AR51" s="8">
        <f t="shared" si="23"/>
        <v>0.34285673627761409</v>
      </c>
      <c r="AT51" s="11">
        <v>16</v>
      </c>
      <c r="AU51" s="11">
        <v>362.138306</v>
      </c>
      <c r="AV51" s="11">
        <v>540.16</v>
      </c>
      <c r="AW51" s="8">
        <f t="shared" si="24"/>
        <v>0.32957215269549761</v>
      </c>
      <c r="AY51" s="11">
        <v>16</v>
      </c>
      <c r="AZ51" s="11">
        <v>340.24774200000002</v>
      </c>
      <c r="BA51" s="11">
        <v>588.34</v>
      </c>
      <c r="BB51" s="8">
        <f t="shared" si="25"/>
        <v>0.4216817792432947</v>
      </c>
      <c r="BD51" s="11">
        <v>16</v>
      </c>
      <c r="BE51" s="11">
        <v>310.52374300000002</v>
      </c>
      <c r="BF51" s="11">
        <v>392.99</v>
      </c>
      <c r="BG51" s="8">
        <f t="shared" si="26"/>
        <v>0.20984314359143993</v>
      </c>
    </row>
    <row r="52" spans="1:59" x14ac:dyDescent="0.25">
      <c r="A52" s="11">
        <v>17</v>
      </c>
      <c r="B52" s="11">
        <v>218.43826300000001</v>
      </c>
      <c r="C52" s="11">
        <v>333.16</v>
      </c>
      <c r="D52" s="8">
        <f t="shared" si="15"/>
        <v>0.34434427002041063</v>
      </c>
      <c r="F52" s="11">
        <v>17</v>
      </c>
      <c r="G52" s="11">
        <v>216.124878</v>
      </c>
      <c r="H52" s="11">
        <v>339.18</v>
      </c>
      <c r="I52" s="8">
        <f t="shared" si="16"/>
        <v>0.362801822041394</v>
      </c>
      <c r="K52" s="11">
        <v>17</v>
      </c>
      <c r="L52" s="11">
        <v>206.276871</v>
      </c>
      <c r="M52" s="11">
        <v>332.02</v>
      </c>
      <c r="N52" s="8">
        <f t="shared" si="17"/>
        <v>0.37872154990663209</v>
      </c>
      <c r="P52" s="11">
        <v>17</v>
      </c>
      <c r="Q52" s="11">
        <v>243.66113300000001</v>
      </c>
      <c r="R52" s="11">
        <v>347.81</v>
      </c>
      <c r="S52" s="8">
        <f t="shared" si="18"/>
        <v>0.29944184181018368</v>
      </c>
      <c r="U52" s="11">
        <v>17</v>
      </c>
      <c r="V52" s="11">
        <v>253.65692100000001</v>
      </c>
      <c r="W52" s="11">
        <v>347.74</v>
      </c>
      <c r="X52" s="8">
        <f t="shared" si="19"/>
        <v>0.27055581468913553</v>
      </c>
      <c r="Z52" s="11">
        <v>17</v>
      </c>
      <c r="AA52" s="11">
        <v>234.24292</v>
      </c>
      <c r="AB52" s="11">
        <v>366.51</v>
      </c>
      <c r="AC52" s="8">
        <f t="shared" si="20"/>
        <v>0.36088259529071509</v>
      </c>
      <c r="AE52" s="11">
        <v>17</v>
      </c>
      <c r="AF52" s="11">
        <v>260.37326000000002</v>
      </c>
      <c r="AG52" s="11">
        <v>409.49</v>
      </c>
      <c r="AH52" s="8">
        <f t="shared" si="21"/>
        <v>0.36415233583237683</v>
      </c>
      <c r="AJ52" s="11">
        <v>17</v>
      </c>
      <c r="AK52" s="11">
        <v>307.51260400000001</v>
      </c>
      <c r="AL52" s="11">
        <v>422.48</v>
      </c>
      <c r="AM52" s="8">
        <f t="shared" si="22"/>
        <v>0.27212506154137472</v>
      </c>
      <c r="AO52" s="11">
        <v>17</v>
      </c>
      <c r="AP52" s="11">
        <v>319.36206099999998</v>
      </c>
      <c r="AQ52" s="11">
        <v>426.61</v>
      </c>
      <c r="AR52" s="8">
        <f t="shared" si="23"/>
        <v>0.25139574552870309</v>
      </c>
      <c r="AT52" s="11">
        <v>17</v>
      </c>
      <c r="AU52" s="11">
        <v>307.74893200000002</v>
      </c>
      <c r="AV52" s="11">
        <v>489.14</v>
      </c>
      <c r="AW52" s="8">
        <f t="shared" si="24"/>
        <v>0.37083670932657309</v>
      </c>
      <c r="AY52" s="11">
        <v>17</v>
      </c>
      <c r="AZ52" s="11">
        <v>285.55206299999998</v>
      </c>
      <c r="BA52" s="11">
        <v>416.9</v>
      </c>
      <c r="BB52" s="8">
        <f t="shared" si="25"/>
        <v>0.31505861597505397</v>
      </c>
      <c r="BD52" s="11">
        <v>17</v>
      </c>
      <c r="BE52" s="11">
        <v>257.77642800000001</v>
      </c>
      <c r="BF52" s="11">
        <v>389.14</v>
      </c>
      <c r="BG52" s="8">
        <f t="shared" si="26"/>
        <v>0.33757406588888311</v>
      </c>
    </row>
    <row r="53" spans="1:59" x14ac:dyDescent="0.25">
      <c r="A53" s="11">
        <v>18</v>
      </c>
      <c r="B53" s="11">
        <v>294.571167</v>
      </c>
      <c r="C53" s="11">
        <v>503.64</v>
      </c>
      <c r="D53" s="10">
        <f t="shared" si="15"/>
        <v>0.41511562425542053</v>
      </c>
      <c r="F53" s="11">
        <v>18</v>
      </c>
      <c r="G53" s="11">
        <v>288.22692899999998</v>
      </c>
      <c r="H53" s="11">
        <v>481.46</v>
      </c>
      <c r="I53" s="10">
        <f t="shared" si="16"/>
        <v>0.40134813068583058</v>
      </c>
      <c r="K53" s="11">
        <v>18</v>
      </c>
      <c r="L53" s="11">
        <v>281.41436800000002</v>
      </c>
      <c r="M53" s="11">
        <v>489.46</v>
      </c>
      <c r="N53" s="10">
        <f t="shared" si="17"/>
        <v>0.4250513463817267</v>
      </c>
      <c r="P53" s="11">
        <v>18</v>
      </c>
      <c r="Q53" s="11">
        <v>323.23230000000001</v>
      </c>
      <c r="R53" s="11">
        <v>495.12</v>
      </c>
      <c r="S53" s="8">
        <f t="shared" si="18"/>
        <v>0.34716371788657296</v>
      </c>
      <c r="U53" s="11">
        <v>18</v>
      </c>
      <c r="V53" s="11">
        <v>340.95242300000001</v>
      </c>
      <c r="W53" s="11">
        <v>490.57</v>
      </c>
      <c r="X53" s="8">
        <f t="shared" si="19"/>
        <v>0.30498721283405017</v>
      </c>
      <c r="Z53" s="11">
        <v>18</v>
      </c>
      <c r="AA53" s="11">
        <v>341.91906699999998</v>
      </c>
      <c r="AB53" s="11">
        <v>396.72</v>
      </c>
      <c r="AC53" s="8">
        <f t="shared" si="20"/>
        <v>0.13813503982657804</v>
      </c>
      <c r="AE53" s="11">
        <v>18</v>
      </c>
      <c r="AF53" s="11">
        <v>340.07531699999998</v>
      </c>
      <c r="AG53" s="11">
        <v>432.38</v>
      </c>
      <c r="AH53" s="8">
        <f t="shared" si="21"/>
        <v>0.2134804639437532</v>
      </c>
      <c r="AJ53" s="11">
        <v>18</v>
      </c>
      <c r="AK53" s="11">
        <v>376.94467200000003</v>
      </c>
      <c r="AL53" s="11">
        <v>696.65</v>
      </c>
      <c r="AM53" s="10">
        <f t="shared" si="22"/>
        <v>0.45891814828105931</v>
      </c>
      <c r="AO53" s="11">
        <v>18</v>
      </c>
      <c r="AP53" s="11">
        <v>384.09939600000001</v>
      </c>
      <c r="AQ53" s="11">
        <v>696.85</v>
      </c>
      <c r="AR53" s="10">
        <f t="shared" si="23"/>
        <v>0.44880620506565255</v>
      </c>
      <c r="AT53" s="11">
        <v>18</v>
      </c>
      <c r="AU53" s="11">
        <v>360.20034800000002</v>
      </c>
      <c r="AV53" s="11">
        <v>673.36</v>
      </c>
      <c r="AW53" s="10">
        <f t="shared" si="24"/>
        <v>0.4650701734584769</v>
      </c>
      <c r="AY53" s="11">
        <v>18</v>
      </c>
      <c r="AZ53" s="11">
        <v>363.35845899999998</v>
      </c>
      <c r="BA53" s="11">
        <v>429.3</v>
      </c>
      <c r="BB53" s="8">
        <f t="shared" si="25"/>
        <v>0.15360247146517594</v>
      </c>
      <c r="BD53" s="11">
        <v>18</v>
      </c>
      <c r="BE53" s="11">
        <v>345.97094700000002</v>
      </c>
      <c r="BF53" s="11">
        <v>412.61</v>
      </c>
      <c r="BG53" s="8">
        <f t="shared" si="26"/>
        <v>0.16150615108698282</v>
      </c>
    </row>
    <row r="54" spans="1:59" x14ac:dyDescent="0.25">
      <c r="A54" s="11">
        <v>19</v>
      </c>
      <c r="B54" s="11">
        <v>338.26876800000002</v>
      </c>
      <c r="C54" s="11">
        <v>423.33</v>
      </c>
      <c r="D54" s="8">
        <f t="shared" si="15"/>
        <v>0.2009336262490255</v>
      </c>
      <c r="F54" s="11">
        <v>19</v>
      </c>
      <c r="G54" s="11">
        <v>338.13699300000002</v>
      </c>
      <c r="H54" s="11">
        <v>425.93</v>
      </c>
      <c r="I54" s="8">
        <f t="shared" si="16"/>
        <v>0.20612074049726478</v>
      </c>
      <c r="K54" s="11">
        <v>19</v>
      </c>
      <c r="L54" s="11">
        <v>334.45190400000001</v>
      </c>
      <c r="M54" s="11">
        <v>498.43</v>
      </c>
      <c r="N54" s="8">
        <f t="shared" si="17"/>
        <v>0.32898921814497523</v>
      </c>
      <c r="P54" s="11">
        <v>19</v>
      </c>
      <c r="Q54" s="11">
        <v>368.218658</v>
      </c>
      <c r="R54" s="11">
        <v>514.23</v>
      </c>
      <c r="S54" s="8">
        <f t="shared" si="18"/>
        <v>0.28394170312895012</v>
      </c>
      <c r="U54" s="11">
        <v>19</v>
      </c>
      <c r="V54" s="11">
        <v>378.26892099999998</v>
      </c>
      <c r="W54" s="11">
        <v>509.61</v>
      </c>
      <c r="X54" s="8">
        <f t="shared" si="19"/>
        <v>0.25772861403818614</v>
      </c>
      <c r="Z54" s="11">
        <v>19</v>
      </c>
      <c r="AA54" s="11">
        <v>381.56710800000002</v>
      </c>
      <c r="AB54" s="11">
        <v>347.34</v>
      </c>
      <c r="AC54" s="8">
        <f t="shared" si="20"/>
        <v>9.8540646052859004E-2</v>
      </c>
      <c r="AE54" s="11">
        <v>19</v>
      </c>
      <c r="AF54" s="11">
        <v>392.45114100000001</v>
      </c>
      <c r="AG54" s="11">
        <v>346.21</v>
      </c>
      <c r="AH54" s="8">
        <f t="shared" si="21"/>
        <v>0.13356385141965868</v>
      </c>
      <c r="AJ54" s="11">
        <v>19</v>
      </c>
      <c r="AK54" s="11">
        <v>419.054596</v>
      </c>
      <c r="AL54" s="11">
        <v>351.76</v>
      </c>
      <c r="AM54" s="8">
        <f t="shared" si="22"/>
        <v>0.19130826700022746</v>
      </c>
      <c r="AO54" s="11">
        <v>19</v>
      </c>
      <c r="AP54" s="11">
        <v>410.08648699999998</v>
      </c>
      <c r="AQ54" s="11">
        <v>351.34</v>
      </c>
      <c r="AR54" s="8">
        <f t="shared" si="23"/>
        <v>0.16720694199351058</v>
      </c>
      <c r="AT54" s="11">
        <v>19</v>
      </c>
      <c r="AU54" s="11">
        <v>388.36892699999999</v>
      </c>
      <c r="AV54" s="11">
        <v>380.54</v>
      </c>
      <c r="AW54" s="8">
        <f t="shared" si="24"/>
        <v>2.0573203868187218E-2</v>
      </c>
      <c r="AY54" s="11">
        <v>19</v>
      </c>
      <c r="AZ54" s="11">
        <v>386.85791</v>
      </c>
      <c r="BA54" s="11">
        <v>426.99</v>
      </c>
      <c r="BB54" s="8">
        <f t="shared" si="25"/>
        <v>9.398836038314716E-2</v>
      </c>
      <c r="BD54" s="11">
        <v>19</v>
      </c>
      <c r="BE54" s="11">
        <v>362.678741</v>
      </c>
      <c r="BF54" s="11">
        <v>439.28</v>
      </c>
      <c r="BG54" s="8">
        <f t="shared" si="26"/>
        <v>0.17437911810234924</v>
      </c>
    </row>
    <row r="55" spans="1:59" x14ac:dyDescent="0.25">
      <c r="A55" s="11">
        <v>20</v>
      </c>
      <c r="B55" s="11">
        <v>357.95288099999999</v>
      </c>
      <c r="C55" s="11">
        <v>485.9</v>
      </c>
      <c r="D55" s="8">
        <f t="shared" si="15"/>
        <v>0.26331985799547231</v>
      </c>
      <c r="F55" s="11">
        <v>20</v>
      </c>
      <c r="G55" s="11">
        <v>364.12295499999999</v>
      </c>
      <c r="H55" s="11">
        <v>454.22</v>
      </c>
      <c r="I55" s="8">
        <f t="shared" si="16"/>
        <v>0.19835552155343233</v>
      </c>
      <c r="K55" s="11">
        <v>20</v>
      </c>
      <c r="L55" s="11">
        <v>361.63092</v>
      </c>
      <c r="M55" s="11">
        <v>390.15</v>
      </c>
      <c r="N55" s="8">
        <f t="shared" si="17"/>
        <v>7.3097731641676211E-2</v>
      </c>
      <c r="P55" s="11">
        <v>20</v>
      </c>
      <c r="Q55" s="11">
        <v>388.76406900000001</v>
      </c>
      <c r="R55" s="11">
        <v>435.06</v>
      </c>
      <c r="S55" s="8">
        <f t="shared" si="18"/>
        <v>0.10641274996552198</v>
      </c>
      <c r="U55" s="11">
        <v>20</v>
      </c>
      <c r="V55" s="11">
        <v>410.49600199999998</v>
      </c>
      <c r="W55" s="11">
        <v>378.16</v>
      </c>
      <c r="X55" s="8">
        <f t="shared" si="19"/>
        <v>8.550878464142149E-2</v>
      </c>
      <c r="Z55" s="11">
        <v>20</v>
      </c>
      <c r="AA55" s="11">
        <v>412.92309599999999</v>
      </c>
      <c r="AB55" s="11">
        <v>369.12</v>
      </c>
      <c r="AC55" s="8">
        <f t="shared" si="20"/>
        <v>0.11866898569570866</v>
      </c>
      <c r="AE55" s="11">
        <v>20</v>
      </c>
      <c r="AF55" s="11">
        <v>432.35598800000002</v>
      </c>
      <c r="AG55" s="11">
        <v>395.74</v>
      </c>
      <c r="AH55" s="8">
        <f t="shared" si="21"/>
        <v>9.2525365138727486E-2</v>
      </c>
      <c r="AJ55" s="11">
        <v>20</v>
      </c>
      <c r="AK55" s="11">
        <v>465.74771099999998</v>
      </c>
      <c r="AL55" s="11">
        <v>418.96</v>
      </c>
      <c r="AM55" s="8">
        <f t="shared" si="22"/>
        <v>0.11167584256253581</v>
      </c>
      <c r="AO55" s="11">
        <v>20</v>
      </c>
      <c r="AP55" s="11">
        <v>451.147491</v>
      </c>
      <c r="AQ55" s="11">
        <v>683.23</v>
      </c>
      <c r="AR55" s="8">
        <f t="shared" si="23"/>
        <v>0.33968430689518903</v>
      </c>
      <c r="AT55" s="11">
        <v>20</v>
      </c>
      <c r="AU55" s="11">
        <v>433.11230499999999</v>
      </c>
      <c r="AV55" s="11">
        <v>593.58000000000004</v>
      </c>
      <c r="AW55" s="8">
        <f t="shared" si="24"/>
        <v>0.27033878331480177</v>
      </c>
      <c r="AY55" s="11">
        <v>20</v>
      </c>
      <c r="AZ55" s="11">
        <v>420.638733</v>
      </c>
      <c r="BA55" s="11">
        <v>523.78</v>
      </c>
      <c r="BB55" s="8">
        <f t="shared" si="25"/>
        <v>0.19691715414868832</v>
      </c>
      <c r="BD55" s="11">
        <v>20</v>
      </c>
      <c r="BE55" s="11">
        <v>400.27963299999999</v>
      </c>
      <c r="BF55" s="11">
        <v>531.79</v>
      </c>
      <c r="BG55" s="8">
        <f t="shared" si="26"/>
        <v>0.247297555426014</v>
      </c>
    </row>
    <row r="56" spans="1:59" x14ac:dyDescent="0.25">
      <c r="A56" s="11">
        <v>21</v>
      </c>
      <c r="B56" s="11">
        <v>356.03045700000001</v>
      </c>
      <c r="C56" s="11">
        <v>404.85</v>
      </c>
      <c r="D56" s="8">
        <f t="shared" si="15"/>
        <v>0.1205867432382364</v>
      </c>
      <c r="F56" s="11">
        <v>21</v>
      </c>
      <c r="G56" s="11">
        <v>364.29510499999998</v>
      </c>
      <c r="H56" s="11">
        <v>425.59</v>
      </c>
      <c r="I56" s="8">
        <f t="shared" si="16"/>
        <v>0.14402334406353534</v>
      </c>
      <c r="K56" s="11">
        <v>21</v>
      </c>
      <c r="L56" s="11">
        <v>368.72967499999999</v>
      </c>
      <c r="M56" s="11">
        <v>398.65</v>
      </c>
      <c r="N56" s="8">
        <f t="shared" si="17"/>
        <v>7.5054120155524873E-2</v>
      </c>
      <c r="P56" s="11">
        <v>21</v>
      </c>
      <c r="Q56" s="11">
        <v>364.61013800000001</v>
      </c>
      <c r="R56" s="11">
        <v>388.02</v>
      </c>
      <c r="S56" s="8">
        <f t="shared" si="18"/>
        <v>6.0331586000721554E-2</v>
      </c>
      <c r="U56" s="11">
        <v>21</v>
      </c>
      <c r="V56" s="11">
        <v>375.460846</v>
      </c>
      <c r="W56" s="11">
        <v>429.72</v>
      </c>
      <c r="X56" s="8">
        <f t="shared" si="19"/>
        <v>0.12626629898538588</v>
      </c>
      <c r="Z56" s="11">
        <v>21</v>
      </c>
      <c r="AA56" s="11">
        <v>386.037781</v>
      </c>
      <c r="AB56" s="11">
        <v>382.28</v>
      </c>
      <c r="AC56" s="8">
        <f t="shared" si="20"/>
        <v>9.8299178612535915E-3</v>
      </c>
      <c r="AE56" s="11">
        <v>21</v>
      </c>
      <c r="AF56" s="11">
        <v>402.40100100000001</v>
      </c>
      <c r="AG56" s="11">
        <v>354.91</v>
      </c>
      <c r="AH56" s="8">
        <f t="shared" si="21"/>
        <v>0.13381139162041075</v>
      </c>
      <c r="AJ56" s="11">
        <v>21</v>
      </c>
      <c r="AK56" s="11">
        <v>432.901093</v>
      </c>
      <c r="AL56" s="11">
        <v>381.1</v>
      </c>
      <c r="AM56" s="8">
        <f t="shared" si="22"/>
        <v>0.13592519811073203</v>
      </c>
      <c r="AO56" s="11">
        <v>21</v>
      </c>
      <c r="AP56" s="11">
        <v>405.00408900000002</v>
      </c>
      <c r="AQ56" s="11">
        <v>383.42</v>
      </c>
      <c r="AR56" s="8">
        <f t="shared" si="23"/>
        <v>5.6293591883574162E-2</v>
      </c>
      <c r="AT56" s="11">
        <v>21</v>
      </c>
      <c r="AU56" s="11">
        <v>390.307434</v>
      </c>
      <c r="AV56" s="11">
        <v>451.34</v>
      </c>
      <c r="AW56" s="8">
        <f t="shared" si="24"/>
        <v>0.13522525368901489</v>
      </c>
      <c r="AY56" s="11">
        <v>21</v>
      </c>
      <c r="AZ56" s="11">
        <v>362.19326799999999</v>
      </c>
      <c r="BA56" s="11">
        <v>610.04999999999995</v>
      </c>
      <c r="BB56" s="8">
        <f t="shared" si="25"/>
        <v>0.40628920908122285</v>
      </c>
      <c r="BD56" s="11">
        <v>21</v>
      </c>
      <c r="BE56" s="11">
        <v>353.32751500000001</v>
      </c>
      <c r="BF56" s="11">
        <v>404.15</v>
      </c>
      <c r="BG56" s="8">
        <f t="shared" si="26"/>
        <v>0.12575154026970178</v>
      </c>
    </row>
    <row r="57" spans="1:59" x14ac:dyDescent="0.25">
      <c r="A57" s="11">
        <v>22</v>
      </c>
      <c r="B57" s="11">
        <v>323.64218099999999</v>
      </c>
      <c r="C57" s="11">
        <v>394.69</v>
      </c>
      <c r="D57" s="8">
        <f t="shared" si="15"/>
        <v>0.18000916922141427</v>
      </c>
      <c r="F57" s="11">
        <v>22</v>
      </c>
      <c r="G57" s="11">
        <v>339.01431300000002</v>
      </c>
      <c r="H57" s="11">
        <v>406.64</v>
      </c>
      <c r="I57" s="8">
        <f t="shared" si="16"/>
        <v>0.16630357810348212</v>
      </c>
      <c r="K57" s="11">
        <v>22</v>
      </c>
      <c r="L57" s="11">
        <v>335.51934799999998</v>
      </c>
      <c r="M57" s="11">
        <v>357.69</v>
      </c>
      <c r="N57" s="8">
        <f t="shared" si="17"/>
        <v>6.1982867846459275E-2</v>
      </c>
      <c r="P57" s="11">
        <v>22</v>
      </c>
      <c r="Q57" s="11">
        <v>306.17709400000001</v>
      </c>
      <c r="R57" s="11">
        <v>350.52</v>
      </c>
      <c r="S57" s="8">
        <f t="shared" si="18"/>
        <v>0.12650606527444933</v>
      </c>
      <c r="U57" s="11">
        <v>22</v>
      </c>
      <c r="V57" s="11">
        <v>308.02548200000001</v>
      </c>
      <c r="W57" s="11">
        <v>384.25</v>
      </c>
      <c r="X57" s="8">
        <f t="shared" si="19"/>
        <v>0.19837220039037082</v>
      </c>
      <c r="Z57" s="11">
        <v>22</v>
      </c>
      <c r="AA57" s="11">
        <v>337.63037100000003</v>
      </c>
      <c r="AB57" s="11">
        <v>356.4</v>
      </c>
      <c r="AC57" s="8">
        <f t="shared" si="20"/>
        <v>5.2664503367003235E-2</v>
      </c>
      <c r="AE57" s="11">
        <v>22</v>
      </c>
      <c r="AF57" s="11">
        <v>344.09866299999999</v>
      </c>
      <c r="AG57" s="11">
        <v>354.18</v>
      </c>
      <c r="AH57" s="8">
        <f t="shared" si="21"/>
        <v>2.8463879948049067E-2</v>
      </c>
      <c r="AJ57" s="11">
        <v>22</v>
      </c>
      <c r="AK57" s="11">
        <v>388.25018299999999</v>
      </c>
      <c r="AL57" s="11">
        <v>364.13</v>
      </c>
      <c r="AM57" s="8">
        <f t="shared" si="22"/>
        <v>6.6240581660396008E-2</v>
      </c>
      <c r="AO57" s="11">
        <v>22</v>
      </c>
      <c r="AP57" s="11">
        <v>372.86276199999998</v>
      </c>
      <c r="AQ57" s="11">
        <v>404.55</v>
      </c>
      <c r="AR57" s="8">
        <f t="shared" si="23"/>
        <v>7.8327123964899353E-2</v>
      </c>
      <c r="AT57" s="11">
        <v>22</v>
      </c>
      <c r="AU57" s="11">
        <v>368.89514200000002</v>
      </c>
      <c r="AV57" s="11">
        <v>635.94000000000005</v>
      </c>
      <c r="AW57" s="8">
        <f t="shared" si="24"/>
        <v>0.41992146743403469</v>
      </c>
      <c r="AY57" s="11">
        <v>22</v>
      </c>
      <c r="AZ57" s="11">
        <v>325.89169299999998</v>
      </c>
      <c r="BA57" s="11">
        <v>357.38</v>
      </c>
      <c r="BB57" s="8">
        <f t="shared" si="25"/>
        <v>8.8108755386423473E-2</v>
      </c>
      <c r="BD57" s="11">
        <v>22</v>
      </c>
      <c r="BE57" s="11">
        <v>295.70648199999999</v>
      </c>
      <c r="BF57" s="11">
        <v>353.96</v>
      </c>
      <c r="BG57" s="8">
        <f t="shared" si="26"/>
        <v>0.16457655667307036</v>
      </c>
    </row>
    <row r="58" spans="1:59" x14ac:dyDescent="0.25">
      <c r="A58" s="11">
        <v>23</v>
      </c>
      <c r="B58" s="11">
        <v>250.45704699999999</v>
      </c>
      <c r="C58" s="11">
        <v>312.72000000000003</v>
      </c>
      <c r="D58" s="8">
        <f t="shared" si="15"/>
        <v>0.19910128229726284</v>
      </c>
      <c r="F58" s="11">
        <v>23</v>
      </c>
      <c r="G58" s="11">
        <v>275.39248700000002</v>
      </c>
      <c r="H58" s="11">
        <v>302.69</v>
      </c>
      <c r="I58" s="8">
        <f t="shared" si="16"/>
        <v>9.0183068485909609E-2</v>
      </c>
      <c r="K58" s="11">
        <v>23</v>
      </c>
      <c r="L58" s="11">
        <v>283.60623199999998</v>
      </c>
      <c r="M58" s="11">
        <v>316.27999999999997</v>
      </c>
      <c r="N58" s="8">
        <f t="shared" si="17"/>
        <v>0.10330646262805109</v>
      </c>
      <c r="P58" s="11">
        <v>23</v>
      </c>
      <c r="Q58" s="11">
        <v>254.41322299999999</v>
      </c>
      <c r="R58" s="11">
        <v>312.61</v>
      </c>
      <c r="S58" s="8">
        <f t="shared" si="18"/>
        <v>0.18616415661687094</v>
      </c>
      <c r="U58" s="11">
        <v>23</v>
      </c>
      <c r="V58" s="11">
        <v>255.39207500000001</v>
      </c>
      <c r="W58" s="11">
        <v>316.39999999999998</v>
      </c>
      <c r="X58" s="8">
        <f t="shared" si="19"/>
        <v>0.19281897914032861</v>
      </c>
      <c r="Z58" s="11">
        <v>23</v>
      </c>
      <c r="AA58" s="11">
        <v>286.39959700000003</v>
      </c>
      <c r="AB58" s="11">
        <v>324.89999999999998</v>
      </c>
      <c r="AC58" s="8">
        <f t="shared" si="20"/>
        <v>0.11849923976608172</v>
      </c>
      <c r="AE58" s="11">
        <v>23</v>
      </c>
      <c r="AF58" s="11">
        <v>303.73172</v>
      </c>
      <c r="AG58" s="11">
        <v>370.13</v>
      </c>
      <c r="AH58" s="8">
        <f t="shared" si="21"/>
        <v>0.17939178126604166</v>
      </c>
      <c r="AJ58" s="11">
        <v>23</v>
      </c>
      <c r="AK58" s="11">
        <v>348.05294800000001</v>
      </c>
      <c r="AL58" s="11">
        <v>357.69</v>
      </c>
      <c r="AM58" s="8">
        <f t="shared" si="22"/>
        <v>2.6942469736363842E-2</v>
      </c>
      <c r="AO58" s="11">
        <v>23</v>
      </c>
      <c r="AP58" s="11">
        <v>339.17343099999999</v>
      </c>
      <c r="AQ58" s="11">
        <v>399.58</v>
      </c>
      <c r="AR58" s="8">
        <f t="shared" si="23"/>
        <v>0.15117515641423493</v>
      </c>
      <c r="AT58" s="11">
        <v>23</v>
      </c>
      <c r="AU58" s="11">
        <v>350.27099600000003</v>
      </c>
      <c r="AV58" s="11">
        <v>491.66</v>
      </c>
      <c r="AW58" s="8">
        <f t="shared" si="24"/>
        <v>0.28757475491193102</v>
      </c>
      <c r="AY58" s="11">
        <v>23</v>
      </c>
      <c r="AZ58" s="11">
        <v>344.679779</v>
      </c>
      <c r="BA58" s="11">
        <v>388.2</v>
      </c>
      <c r="BB58" s="8">
        <f t="shared" si="25"/>
        <v>0.11210773055126222</v>
      </c>
      <c r="BD58" s="11">
        <v>23</v>
      </c>
      <c r="BE58" s="11">
        <v>299.40304600000002</v>
      </c>
      <c r="BF58" s="11">
        <v>364.59</v>
      </c>
      <c r="BG58" s="8">
        <f t="shared" si="26"/>
        <v>0.17879523300145359</v>
      </c>
    </row>
    <row r="59" spans="1:59" x14ac:dyDescent="0.25">
      <c r="A59" s="11">
        <v>24</v>
      </c>
      <c r="B59" s="11">
        <v>255.593887</v>
      </c>
      <c r="C59" s="11">
        <v>335.52</v>
      </c>
      <c r="D59" s="8">
        <f t="shared" si="15"/>
        <v>0.23821564437291365</v>
      </c>
      <c r="F59" s="11">
        <v>24</v>
      </c>
      <c r="G59" s="11">
        <v>249.51151999999999</v>
      </c>
      <c r="H59" s="11">
        <v>336.28</v>
      </c>
      <c r="I59" s="8">
        <f t="shared" si="16"/>
        <v>0.25802450339003208</v>
      </c>
      <c r="K59" s="11">
        <v>24</v>
      </c>
      <c r="L59" s="11">
        <v>240.29470800000001</v>
      </c>
      <c r="M59" s="11">
        <v>336.13</v>
      </c>
      <c r="N59" s="8">
        <f t="shared" si="17"/>
        <v>0.28511377145747174</v>
      </c>
      <c r="P59" s="11">
        <v>24</v>
      </c>
      <c r="Q59" s="11">
        <v>310.56454500000001</v>
      </c>
      <c r="R59" s="11">
        <v>336.74</v>
      </c>
      <c r="S59" s="8">
        <f t="shared" si="18"/>
        <v>7.7731944526934729E-2</v>
      </c>
      <c r="U59" s="11">
        <v>24</v>
      </c>
      <c r="V59" s="11">
        <v>316.34552000000002</v>
      </c>
      <c r="W59" s="11">
        <v>357.33</v>
      </c>
      <c r="X59" s="8">
        <f t="shared" si="19"/>
        <v>0.11469644306383445</v>
      </c>
      <c r="Z59" s="11">
        <v>24</v>
      </c>
      <c r="AA59" s="11">
        <v>297.99923699999999</v>
      </c>
      <c r="AB59" s="11">
        <v>349.51</v>
      </c>
      <c r="AC59" s="8">
        <f t="shared" si="20"/>
        <v>0.14737994048811193</v>
      </c>
      <c r="AE59" s="11">
        <v>24</v>
      </c>
      <c r="AF59" s="11">
        <v>320.50585899999999</v>
      </c>
      <c r="AG59" s="11">
        <v>356.77</v>
      </c>
      <c r="AH59" s="8">
        <f t="shared" si="21"/>
        <v>0.10164571292429295</v>
      </c>
      <c r="AJ59" s="11">
        <v>24</v>
      </c>
      <c r="AK59" s="11">
        <v>342.81622299999998</v>
      </c>
      <c r="AL59" s="11">
        <v>352.26</v>
      </c>
      <c r="AM59" s="8">
        <f t="shared" si="22"/>
        <v>2.6809109748481268E-2</v>
      </c>
      <c r="AO59" s="11">
        <v>24</v>
      </c>
      <c r="AP59" s="11">
        <v>353.05950899999999</v>
      </c>
      <c r="AQ59" s="11">
        <v>348.9</v>
      </c>
      <c r="AR59" s="8">
        <f t="shared" si="23"/>
        <v>1.1921779879621709E-2</v>
      </c>
      <c r="AT59" s="11">
        <v>24</v>
      </c>
      <c r="AU59" s="11">
        <v>330.80215500000003</v>
      </c>
      <c r="AV59" s="11">
        <v>346.81</v>
      </c>
      <c r="AW59" s="8">
        <f t="shared" si="24"/>
        <v>4.6157391655373185E-2</v>
      </c>
      <c r="AY59" s="11">
        <v>24</v>
      </c>
      <c r="AZ59" s="11">
        <v>335.915436</v>
      </c>
      <c r="BA59" s="11">
        <v>638.30999999999995</v>
      </c>
      <c r="BB59" s="8">
        <f t="shared" si="25"/>
        <v>0.47374248249283257</v>
      </c>
      <c r="BD59" s="11">
        <v>24</v>
      </c>
      <c r="BE59" s="11">
        <v>325.43261699999999</v>
      </c>
      <c r="BF59" s="11">
        <v>348.82</v>
      </c>
      <c r="BG59" s="8">
        <f t="shared" si="26"/>
        <v>6.7047138925520333E-2</v>
      </c>
    </row>
    <row r="60" spans="1:59" x14ac:dyDescent="0.25">
      <c r="A60" s="11">
        <v>25</v>
      </c>
      <c r="B60" s="11">
        <v>294.96655299999998</v>
      </c>
      <c r="C60" s="11">
        <v>426.01</v>
      </c>
      <c r="D60" s="8">
        <f t="shared" si="15"/>
        <v>0.30760650454214694</v>
      </c>
      <c r="F60" s="11">
        <v>25</v>
      </c>
      <c r="G60" s="11">
        <v>291.277557</v>
      </c>
      <c r="H60" s="11">
        <v>404.23</v>
      </c>
      <c r="I60" s="8">
        <f t="shared" si="16"/>
        <v>0.27942617569205652</v>
      </c>
      <c r="K60" s="11">
        <v>25</v>
      </c>
      <c r="L60" s="11">
        <v>291.64666699999998</v>
      </c>
      <c r="M60" s="11">
        <v>404.61</v>
      </c>
      <c r="N60" s="8">
        <f t="shared" si="17"/>
        <v>0.27919066014186505</v>
      </c>
      <c r="P60" s="11">
        <v>25</v>
      </c>
      <c r="Q60" s="11">
        <v>328.08676100000002</v>
      </c>
      <c r="R60" s="11">
        <v>447.57</v>
      </c>
      <c r="S60" s="8">
        <f t="shared" si="18"/>
        <v>0.26695989230734851</v>
      </c>
      <c r="U60" s="11">
        <v>25</v>
      </c>
      <c r="V60" s="11">
        <v>355.67425500000002</v>
      </c>
      <c r="W60" s="11">
        <v>563.84</v>
      </c>
      <c r="X60" s="8">
        <f t="shared" si="19"/>
        <v>0.36919293593927355</v>
      </c>
      <c r="Z60" s="11">
        <v>25</v>
      </c>
      <c r="AA60" s="11">
        <v>349.18640099999999</v>
      </c>
      <c r="AB60" s="11">
        <v>381.19</v>
      </c>
      <c r="AC60" s="8">
        <f t="shared" si="20"/>
        <v>8.3957079146882149E-2</v>
      </c>
      <c r="AE60" s="11">
        <v>25</v>
      </c>
      <c r="AF60" s="11">
        <v>368.01681500000001</v>
      </c>
      <c r="AG60" s="11">
        <v>429.63</v>
      </c>
      <c r="AH60" s="8">
        <f t="shared" si="21"/>
        <v>0.14340987593976209</v>
      </c>
      <c r="AJ60" s="11">
        <v>25</v>
      </c>
      <c r="AK60" s="11">
        <v>405.89837599999998</v>
      </c>
      <c r="AL60" s="11">
        <v>443.82</v>
      </c>
      <c r="AM60" s="8">
        <f t="shared" si="22"/>
        <v>8.5443702401874655E-2</v>
      </c>
      <c r="AO60" s="11">
        <v>25</v>
      </c>
      <c r="AP60" s="11">
        <v>420.72174100000001</v>
      </c>
      <c r="AQ60" s="11">
        <v>417.61</v>
      </c>
      <c r="AR60" s="8">
        <f t="shared" si="23"/>
        <v>7.4513086372452646E-3</v>
      </c>
      <c r="AT60" s="11">
        <v>25</v>
      </c>
      <c r="AU60" s="11">
        <v>396.48519900000002</v>
      </c>
      <c r="AV60" s="11">
        <v>392.07</v>
      </c>
      <c r="AW60" s="8">
        <f t="shared" si="24"/>
        <v>1.1261251817277603E-2</v>
      </c>
      <c r="AY60" s="11">
        <v>25</v>
      </c>
      <c r="AZ60" s="11">
        <v>402.00119000000001</v>
      </c>
      <c r="BA60" s="11">
        <v>593.24</v>
      </c>
      <c r="BB60" s="8">
        <f t="shared" si="25"/>
        <v>0.32236330995886991</v>
      </c>
      <c r="BD60" s="11">
        <v>25</v>
      </c>
      <c r="BE60" s="11">
        <v>382.43060300000002</v>
      </c>
      <c r="BF60" s="11">
        <v>636.04999999999995</v>
      </c>
      <c r="BG60" s="8">
        <f t="shared" si="26"/>
        <v>0.39874128920682328</v>
      </c>
    </row>
    <row r="61" spans="1:59" x14ac:dyDescent="0.25">
      <c r="A61" s="11">
        <v>26</v>
      </c>
      <c r="B61" s="11">
        <v>351.32138099999997</v>
      </c>
      <c r="C61" s="11">
        <v>389.33</v>
      </c>
      <c r="D61" s="8">
        <f t="shared" si="15"/>
        <v>9.7625713405080555E-2</v>
      </c>
      <c r="F61" s="11">
        <v>26</v>
      </c>
      <c r="G61" s="11">
        <v>359.67169200000001</v>
      </c>
      <c r="H61" s="11">
        <v>487.47</v>
      </c>
      <c r="I61" s="8">
        <f t="shared" si="16"/>
        <v>0.26216650870822822</v>
      </c>
      <c r="K61" s="11">
        <v>26</v>
      </c>
      <c r="L61" s="11">
        <v>358.77038599999997</v>
      </c>
      <c r="M61" s="11">
        <v>403.26</v>
      </c>
      <c r="N61" s="8">
        <f t="shared" si="17"/>
        <v>0.11032488716956806</v>
      </c>
      <c r="P61" s="11">
        <v>26</v>
      </c>
      <c r="Q61" s="11">
        <v>389.29763800000001</v>
      </c>
      <c r="R61" s="11">
        <v>393.21</v>
      </c>
      <c r="S61" s="8">
        <f t="shared" si="18"/>
        <v>9.9498029043004338E-3</v>
      </c>
      <c r="U61" s="11">
        <v>26</v>
      </c>
      <c r="V61" s="11">
        <v>403.89080799999999</v>
      </c>
      <c r="W61" s="11">
        <v>506.4</v>
      </c>
      <c r="X61" s="8">
        <f t="shared" si="19"/>
        <v>0.20242731437598735</v>
      </c>
      <c r="Z61" s="11">
        <v>26</v>
      </c>
      <c r="AA61" s="11">
        <v>408.63449100000003</v>
      </c>
      <c r="AB61" s="11">
        <v>615.95000000000005</v>
      </c>
      <c r="AC61" s="8">
        <f t="shared" si="20"/>
        <v>0.33657847065508567</v>
      </c>
      <c r="AE61" s="11">
        <v>26</v>
      </c>
      <c r="AF61" s="11">
        <v>392.45114100000001</v>
      </c>
      <c r="AG61" s="11">
        <v>603.19000000000005</v>
      </c>
      <c r="AH61" s="8">
        <f t="shared" si="21"/>
        <v>0.34937392695502251</v>
      </c>
      <c r="AJ61" s="11">
        <v>26</v>
      </c>
      <c r="AK61" s="11">
        <v>419.054596</v>
      </c>
      <c r="AL61" s="11">
        <v>651.01</v>
      </c>
      <c r="AM61" s="8">
        <f t="shared" si="22"/>
        <v>0.35630083101642063</v>
      </c>
      <c r="AO61" s="11">
        <v>26</v>
      </c>
      <c r="AP61" s="11">
        <v>462.49197400000003</v>
      </c>
      <c r="AQ61" s="11">
        <v>614.46</v>
      </c>
      <c r="AR61" s="8">
        <f t="shared" si="23"/>
        <v>0.24731964000911369</v>
      </c>
      <c r="AT61" s="11">
        <v>26</v>
      </c>
      <c r="AU61" s="11">
        <v>444.32067899999998</v>
      </c>
      <c r="AV61" s="11">
        <v>501.19</v>
      </c>
      <c r="AW61" s="8">
        <f t="shared" si="24"/>
        <v>0.1134685867635029</v>
      </c>
      <c r="AY61" s="11">
        <v>26</v>
      </c>
      <c r="AZ61" s="11">
        <v>436.95101899999997</v>
      </c>
      <c r="BA61" s="11">
        <v>600.54</v>
      </c>
      <c r="BB61" s="8">
        <f t="shared" si="25"/>
        <v>0.27240313884170914</v>
      </c>
      <c r="BD61" s="11">
        <v>26</v>
      </c>
      <c r="BE61" s="11">
        <v>420.322968</v>
      </c>
      <c r="BF61" s="11">
        <v>563.88</v>
      </c>
      <c r="BG61" s="8">
        <f t="shared" si="26"/>
        <v>0.25458791232177058</v>
      </c>
    </row>
    <row r="62" spans="1:59" x14ac:dyDescent="0.25">
      <c r="A62" s="11">
        <v>27</v>
      </c>
      <c r="B62" s="11">
        <v>366.52511600000003</v>
      </c>
      <c r="C62" s="11">
        <v>362.41</v>
      </c>
      <c r="D62" s="8">
        <f t="shared" si="15"/>
        <v>1.1354863276399658E-2</v>
      </c>
      <c r="F62" s="11">
        <v>27</v>
      </c>
      <c r="G62" s="11">
        <v>369.03842200000003</v>
      </c>
      <c r="H62" s="11">
        <v>368.64</v>
      </c>
      <c r="I62" s="8">
        <f t="shared" si="16"/>
        <v>1.0807888454862173E-3</v>
      </c>
      <c r="K62" s="11">
        <v>27</v>
      </c>
      <c r="L62" s="11">
        <v>372.09799199999998</v>
      </c>
      <c r="M62" s="11">
        <v>375.56</v>
      </c>
      <c r="N62" s="8">
        <f t="shared" si="17"/>
        <v>9.2182554052615447E-3</v>
      </c>
      <c r="P62" s="11">
        <v>27</v>
      </c>
      <c r="Q62" s="11">
        <v>408.584564</v>
      </c>
      <c r="R62" s="11">
        <v>406.9</v>
      </c>
      <c r="S62" s="8">
        <f t="shared" si="18"/>
        <v>4.1399950847874735E-3</v>
      </c>
      <c r="U62" s="11">
        <v>27</v>
      </c>
      <c r="V62" s="11">
        <v>422.31625400000001</v>
      </c>
      <c r="W62" s="11">
        <v>420.91</v>
      </c>
      <c r="X62" s="8">
        <f t="shared" si="19"/>
        <v>3.3409850086716635E-3</v>
      </c>
      <c r="Z62" s="11">
        <v>27</v>
      </c>
      <c r="AA62" s="11">
        <v>431.53875699999998</v>
      </c>
      <c r="AB62" s="11">
        <v>441.36</v>
      </c>
      <c r="AC62" s="8">
        <f t="shared" si="20"/>
        <v>2.2252227206815384E-2</v>
      </c>
      <c r="AE62" s="11">
        <v>27</v>
      </c>
      <c r="AF62" s="11">
        <v>450.15997299999998</v>
      </c>
      <c r="AG62" s="11">
        <v>449.06</v>
      </c>
      <c r="AH62" s="8">
        <f t="shared" si="21"/>
        <v>2.449501180243124E-3</v>
      </c>
      <c r="AJ62" s="11">
        <v>27</v>
      </c>
      <c r="AK62" s="11">
        <v>490.62451199999998</v>
      </c>
      <c r="AL62" s="11">
        <v>550.21</v>
      </c>
      <c r="AM62" s="8">
        <f t="shared" si="22"/>
        <v>0.10829590156485715</v>
      </c>
      <c r="AO62" s="11">
        <v>27</v>
      </c>
      <c r="AP62" s="11">
        <v>468.98684700000001</v>
      </c>
      <c r="AQ62" s="11">
        <v>467.51</v>
      </c>
      <c r="AR62" s="8">
        <f t="shared" si="23"/>
        <v>3.1589634446322445E-3</v>
      </c>
      <c r="AT62" s="11">
        <v>27</v>
      </c>
      <c r="AU62" s="11">
        <v>452.83743299999998</v>
      </c>
      <c r="AV62" s="11">
        <v>455.65</v>
      </c>
      <c r="AW62" s="8">
        <f t="shared" si="24"/>
        <v>6.1726478656863853E-3</v>
      </c>
      <c r="AY62" s="11">
        <v>27</v>
      </c>
      <c r="AZ62" s="11">
        <v>445.07180799999998</v>
      </c>
      <c r="BA62" s="11">
        <v>439.06</v>
      </c>
      <c r="BB62" s="8">
        <f t="shared" si="25"/>
        <v>1.3692452056666455E-2</v>
      </c>
      <c r="BD62" s="11">
        <v>27</v>
      </c>
      <c r="BE62" s="11">
        <v>431.69552599999997</v>
      </c>
      <c r="BF62" s="11">
        <v>435.55</v>
      </c>
      <c r="BG62" s="8">
        <f t="shared" si="26"/>
        <v>8.8496705315119703E-3</v>
      </c>
    </row>
    <row r="63" spans="1:59" x14ac:dyDescent="0.25">
      <c r="A63" s="11">
        <v>28</v>
      </c>
      <c r="B63" s="11">
        <v>376.30011000000002</v>
      </c>
      <c r="C63" s="11">
        <v>394.95</v>
      </c>
      <c r="D63" s="8">
        <f t="shared" si="15"/>
        <v>4.722088872009108E-2</v>
      </c>
      <c r="F63" s="11">
        <v>28</v>
      </c>
      <c r="G63" s="11">
        <v>383.60244799999998</v>
      </c>
      <c r="H63" s="11">
        <v>503.53</v>
      </c>
      <c r="I63" s="8">
        <f t="shared" si="16"/>
        <v>0.23817359839532898</v>
      </c>
      <c r="K63" s="11">
        <v>28</v>
      </c>
      <c r="L63" s="11">
        <v>385.85952800000001</v>
      </c>
      <c r="M63" s="11">
        <v>568.98</v>
      </c>
      <c r="N63" s="8">
        <f t="shared" si="17"/>
        <v>0.32183991001441176</v>
      </c>
      <c r="P63" s="11">
        <v>28</v>
      </c>
      <c r="Q63" s="11">
        <v>396.04031400000002</v>
      </c>
      <c r="R63" s="11">
        <v>471.58</v>
      </c>
      <c r="S63" s="8">
        <f t="shared" si="18"/>
        <v>0.16018424445481141</v>
      </c>
      <c r="U63" s="11">
        <v>28</v>
      </c>
      <c r="V63" s="11">
        <v>411.66039999999998</v>
      </c>
      <c r="W63" s="11">
        <v>637.67999999999995</v>
      </c>
      <c r="X63" s="8">
        <f t="shared" si="19"/>
        <v>0.35444047170994852</v>
      </c>
      <c r="Z63" s="11">
        <v>28</v>
      </c>
      <c r="AA63" s="11">
        <v>407.80365</v>
      </c>
      <c r="AB63" s="11">
        <v>635.72</v>
      </c>
      <c r="AC63" s="8">
        <f t="shared" si="20"/>
        <v>0.35851687849996855</v>
      </c>
      <c r="AE63" s="11">
        <v>28</v>
      </c>
      <c r="AF63" s="11">
        <v>427.26037600000001</v>
      </c>
      <c r="AG63" s="11">
        <v>627.63</v>
      </c>
      <c r="AH63" s="8">
        <f t="shared" si="21"/>
        <v>0.3192480028041999</v>
      </c>
      <c r="AJ63" s="11">
        <v>28</v>
      </c>
      <c r="AK63" s="11">
        <v>484.48095699999999</v>
      </c>
      <c r="AL63" s="11">
        <v>630.86</v>
      </c>
      <c r="AM63" s="8">
        <f t="shared" si="22"/>
        <v>0.23203094664426341</v>
      </c>
      <c r="AO63" s="11">
        <v>28</v>
      </c>
      <c r="AP63" s="11">
        <v>457.41610700000001</v>
      </c>
      <c r="AQ63" s="11">
        <v>500.8</v>
      </c>
      <c r="AR63" s="8">
        <f t="shared" si="23"/>
        <v>8.6629179313099047E-2</v>
      </c>
      <c r="AT63" s="11">
        <v>28</v>
      </c>
      <c r="AU63" s="11">
        <v>448.37603799999999</v>
      </c>
      <c r="AV63" s="11">
        <v>498.28</v>
      </c>
      <c r="AW63" s="8">
        <f t="shared" si="24"/>
        <v>0.10015244842257362</v>
      </c>
      <c r="AY63" s="11">
        <v>28</v>
      </c>
      <c r="AZ63" s="11">
        <v>434.25344799999999</v>
      </c>
      <c r="BA63" s="11">
        <v>609.35</v>
      </c>
      <c r="BB63" s="8">
        <f t="shared" si="25"/>
        <v>0.28734972019364902</v>
      </c>
      <c r="BD63" s="11">
        <v>28</v>
      </c>
      <c r="BE63" s="11">
        <v>416.92877199999998</v>
      </c>
      <c r="BF63" s="11">
        <v>500.91</v>
      </c>
      <c r="BG63" s="8">
        <f t="shared" si="26"/>
        <v>0.16765731967818578</v>
      </c>
    </row>
    <row r="64" spans="1:59" x14ac:dyDescent="0.25">
      <c r="D64" s="15">
        <f>AVERAGE(D35:D63)</f>
        <v>0.21254823617517657</v>
      </c>
      <c r="I64" s="15">
        <f>AVERAGE(I35:I63)</f>
        <v>0.18407599117517265</v>
      </c>
      <c r="N64" s="15">
        <f>AVERAGE(N35:N63)</f>
        <v>0.21640009946597671</v>
      </c>
      <c r="S64" s="15">
        <f>AVERAGE(S35:S63)</f>
        <v>0.31607536749654902</v>
      </c>
      <c r="X64" s="15">
        <f>AVERAGE(X35:X63)</f>
        <v>0.74441942103326708</v>
      </c>
      <c r="AC64" s="15">
        <f>AVERAGE(AC35:AC63)</f>
        <v>0.28409563189765613</v>
      </c>
      <c r="AH64" s="15">
        <f>AVERAGE(AH35:AH63)</f>
        <v>0.47946458735252095</v>
      </c>
      <c r="AM64" s="15">
        <f>AVERAGE(AM35:AM63)</f>
        <v>0.43765876721724295</v>
      </c>
      <c r="AR64" s="15">
        <f>AVERAGE(AR35:AR63)</f>
        <v>0.28535679784077322</v>
      </c>
      <c r="AW64" s="15">
        <f>AVERAGE(AW35:AW63)</f>
        <v>0.22662943520884299</v>
      </c>
      <c r="BB64" s="15">
        <f>AVERAGE(BB35:BB63)</f>
        <v>0.20980316580074276</v>
      </c>
      <c r="BG64" s="15">
        <f>AVERAGE(BG35:BG63)</f>
        <v>0.19355577010607283</v>
      </c>
    </row>
  </sheetData>
  <mergeCells count="26">
    <mergeCell ref="AT33:AW34"/>
    <mergeCell ref="AY33:BB34"/>
    <mergeCell ref="BD33:BG34"/>
    <mergeCell ref="U33:X34"/>
    <mergeCell ref="Z33:AC34"/>
    <mergeCell ref="AE33:AH34"/>
    <mergeCell ref="AJ33:AM34"/>
    <mergeCell ref="AO33:AR34"/>
    <mergeCell ref="AE1:AH2"/>
    <mergeCell ref="AJ1:AM2"/>
    <mergeCell ref="AO1:AR2"/>
    <mergeCell ref="A1:D2"/>
    <mergeCell ref="F1:I2"/>
    <mergeCell ref="K1:N2"/>
    <mergeCell ref="P1:S2"/>
    <mergeCell ref="A33:D34"/>
    <mergeCell ref="F33:I34"/>
    <mergeCell ref="K33:N34"/>
    <mergeCell ref="U1:X2"/>
    <mergeCell ref="Z1:AC2"/>
    <mergeCell ref="P33:S34"/>
    <mergeCell ref="BN16:BO16"/>
    <mergeCell ref="BN17:BO17"/>
    <mergeCell ref="AT1:AW2"/>
    <mergeCell ref="AY1:BB2"/>
    <mergeCell ref="BD1:BG2"/>
  </mergeCells>
  <conditionalFormatting sqref="BN17:BO17">
    <cfRule type="cellIs" dxfId="2" priority="1" operator="greaterThan">
      <formula>0.8</formula>
    </cfRule>
    <cfRule type="cellIs" dxfId="1" priority="2" operator="lessThan">
      <formula>0.8</formula>
    </cfRule>
    <cfRule type="cellIs" dxfId="0" priority="3" operator="lessThan">
      <formula>0.8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DEMANDA ELÉCTRICA PARA NORESTE </vt:lpstr>
      <vt:lpstr>DEMANDA ELÉCTRICA HORARIA </vt:lpstr>
      <vt:lpstr>Dem Gen Pron</vt:lpstr>
      <vt:lpstr>Pronósticos PML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2020-04-01T04:45:10Z</dcterms:modified>
</cp:coreProperties>
</file>